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it\PokemonXhenos\stuff\"/>
    </mc:Choice>
  </mc:AlternateContent>
  <xr:revisionPtr revIDLastSave="0" documentId="13_ncr:1_{571D88D8-6BFA-4649-A5DD-C9712E99DB3A}" xr6:coauthVersionLast="47" xr6:coauthVersionMax="47" xr10:uidLastSave="{00000000-0000-0000-0000-000000000000}"/>
  <bookViews>
    <workbookView xWindow="-120" yWindow="-120" windowWidth="29040" windowHeight="15720" xr2:uid="{7BD02A17-B686-4FC4-8065-C777F779E0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5" i="1" l="1"/>
  <c r="D375" i="1"/>
  <c r="D377" i="1"/>
  <c r="D376" i="1"/>
  <c r="U345" i="1"/>
  <c r="AD257" i="1"/>
  <c r="AD171" i="1"/>
  <c r="AD320" i="1"/>
  <c r="AD157" i="1"/>
  <c r="AD170" i="1"/>
  <c r="AD236" i="1"/>
  <c r="AD239" i="1"/>
  <c r="AD211" i="1"/>
  <c r="AD317" i="1"/>
  <c r="AD207" i="1"/>
  <c r="AD285" i="1"/>
  <c r="AD321" i="1"/>
  <c r="AD151" i="1"/>
  <c r="AD54" i="1"/>
  <c r="AD90" i="1"/>
  <c r="AD74" i="1"/>
  <c r="AD263" i="1"/>
  <c r="AD290" i="1"/>
  <c r="AD220" i="1"/>
  <c r="AD235" i="1"/>
  <c r="AD161" i="1"/>
  <c r="AD178" i="1"/>
  <c r="AD264" i="1"/>
  <c r="AD278" i="1"/>
  <c r="AD112" i="1"/>
  <c r="AD91" i="1"/>
  <c r="AD268" i="1"/>
  <c r="AD311" i="1"/>
  <c r="AD280" i="1"/>
  <c r="AD85" i="1"/>
  <c r="AD308" i="1"/>
  <c r="AD61" i="1"/>
  <c r="AD210" i="1"/>
  <c r="AD76" i="1"/>
  <c r="AD83" i="1"/>
  <c r="AD128" i="1"/>
  <c r="AD298" i="1"/>
  <c r="AD77" i="1"/>
  <c r="AD305" i="1"/>
  <c r="AD242" i="1"/>
  <c r="AD75" i="1"/>
  <c r="AD312" i="1"/>
  <c r="AD209" i="1"/>
  <c r="AD40" i="1"/>
  <c r="AD265" i="1"/>
  <c r="AD247" i="1"/>
  <c r="AD175" i="1"/>
  <c r="AD123" i="1"/>
  <c r="AD318" i="1"/>
  <c r="AD244" i="1"/>
  <c r="AD185" i="1"/>
  <c r="AD53" i="1"/>
  <c r="AD243" i="1"/>
  <c r="AD258" i="1"/>
  <c r="AD275" i="1"/>
  <c r="AD182" i="1"/>
  <c r="D428" i="1"/>
  <c r="D427" i="1"/>
  <c r="D426" i="1"/>
  <c r="D423" i="1"/>
  <c r="D441" i="1"/>
  <c r="D440" i="1"/>
  <c r="D439" i="1"/>
  <c r="D438" i="1"/>
  <c r="D437" i="1"/>
  <c r="D146" i="1"/>
  <c r="D147" i="1"/>
  <c r="D148" i="1"/>
  <c r="D149" i="1"/>
  <c r="D150" i="1"/>
  <c r="D151" i="1"/>
  <c r="D152" i="1"/>
  <c r="D153" i="1"/>
  <c r="D154" i="1"/>
  <c r="D158" i="1"/>
  <c r="D159" i="1"/>
  <c r="D160" i="1"/>
  <c r="D155" i="1"/>
  <c r="D156" i="1"/>
  <c r="D157" i="1"/>
  <c r="D161" i="1"/>
  <c r="D162" i="1"/>
  <c r="D163" i="1"/>
  <c r="D167" i="1"/>
  <c r="D168" i="1"/>
  <c r="D169" i="1"/>
  <c r="D170" i="1"/>
  <c r="D414" i="1"/>
  <c r="D417" i="1"/>
  <c r="D418" i="1"/>
  <c r="D171" i="1"/>
  <c r="D172" i="1"/>
  <c r="D173" i="1"/>
  <c r="D174" i="1"/>
  <c r="D175" i="1"/>
  <c r="D176" i="1"/>
  <c r="D177" i="1"/>
  <c r="D178" i="1"/>
  <c r="D179" i="1"/>
  <c r="D186" i="1"/>
  <c r="D187" i="1"/>
  <c r="D188" i="1"/>
  <c r="D164" i="1"/>
  <c r="D183" i="1"/>
  <c r="D165" i="1"/>
  <c r="D184" i="1"/>
  <c r="D166" i="1"/>
  <c r="D185" i="1"/>
  <c r="D296" i="1"/>
  <c r="D297" i="1"/>
  <c r="D388" i="1"/>
  <c r="D389" i="1"/>
  <c r="D390" i="1"/>
  <c r="D220" i="1"/>
  <c r="D221" i="1"/>
  <c r="D222" i="1"/>
  <c r="D237" i="1"/>
  <c r="D238" i="1"/>
  <c r="D239" i="1"/>
  <c r="D240" i="1"/>
  <c r="D241" i="1"/>
  <c r="D319" i="1"/>
  <c r="D320" i="1"/>
  <c r="D321" i="1"/>
  <c r="D189" i="1"/>
  <c r="D190" i="1"/>
  <c r="D191" i="1"/>
  <c r="D230" i="1"/>
  <c r="D231" i="1"/>
  <c r="D232" i="1"/>
  <c r="D233" i="1"/>
  <c r="D322" i="1"/>
  <c r="D323" i="1"/>
  <c r="D316" i="1"/>
  <c r="D317" i="1"/>
  <c r="D318" i="1"/>
  <c r="D308" i="1"/>
  <c r="D309" i="1"/>
  <c r="D310" i="1"/>
  <c r="D311" i="1"/>
  <c r="D312" i="1"/>
  <c r="D313" i="1"/>
  <c r="D274" i="1"/>
  <c r="D275" i="1"/>
  <c r="D276" i="1"/>
  <c r="D216" i="1"/>
  <c r="D217" i="1"/>
  <c r="D234" i="1"/>
  <c r="D204" i="1"/>
  <c r="D205" i="1"/>
  <c r="D399" i="1"/>
  <c r="D400" i="1"/>
  <c r="D401" i="1"/>
  <c r="D383" i="1"/>
  <c r="D384" i="1"/>
  <c r="D385" i="1"/>
  <c r="D251" i="1"/>
  <c r="D252" i="1"/>
  <c r="D218" i="1"/>
  <c r="D219" i="1"/>
  <c r="D249" i="1"/>
  <c r="D250" i="1"/>
  <c r="D424" i="1"/>
  <c r="D425" i="1"/>
  <c r="D246" i="1"/>
  <c r="D247" i="1"/>
  <c r="D248" i="1"/>
  <c r="D197" i="1"/>
  <c r="D198" i="1"/>
  <c r="D199" i="1"/>
  <c r="D253" i="1"/>
  <c r="D254" i="1"/>
  <c r="D255" i="1"/>
  <c r="D421" i="1"/>
  <c r="D422" i="1"/>
  <c r="D314" i="1"/>
  <c r="D315" i="1"/>
  <c r="D324" i="1"/>
  <c r="D325" i="1"/>
  <c r="D298" i="1"/>
  <c r="D299" i="1"/>
  <c r="D300" i="1"/>
  <c r="D180" i="1"/>
  <c r="D181" i="1"/>
  <c r="D182" i="1"/>
  <c r="D193" i="1"/>
  <c r="D194" i="1"/>
  <c r="D195" i="1"/>
  <c r="D196" i="1"/>
  <c r="D192" i="1"/>
  <c r="D200" i="1"/>
  <c r="D201" i="1"/>
  <c r="D227" i="1"/>
  <c r="D228" i="1"/>
  <c r="D229" i="1"/>
  <c r="D235" i="1"/>
  <c r="D236" i="1"/>
  <c r="D259" i="1"/>
  <c r="D260" i="1"/>
  <c r="D261" i="1"/>
  <c r="D265" i="1"/>
  <c r="D266" i="1"/>
  <c r="D267" i="1"/>
  <c r="D268" i="1"/>
  <c r="D269" i="1"/>
  <c r="D270" i="1"/>
  <c r="D271" i="1"/>
  <c r="D272" i="1"/>
  <c r="D273" i="1"/>
  <c r="D262" i="1"/>
  <c r="D263" i="1"/>
  <c r="D264" i="1"/>
  <c r="D279" i="1"/>
  <c r="D280" i="1"/>
  <c r="D281" i="1"/>
  <c r="D406" i="1"/>
  <c r="D407" i="1"/>
  <c r="D288" i="1"/>
  <c r="D289" i="1"/>
  <c r="D290" i="1"/>
  <c r="D207" i="1"/>
  <c r="D208" i="1"/>
  <c r="D256" i="1"/>
  <c r="D257" i="1"/>
  <c r="D258" i="1"/>
  <c r="D282" i="1"/>
  <c r="D283" i="1"/>
  <c r="D305" i="1"/>
  <c r="D306" i="1"/>
  <c r="D307" i="1"/>
  <c r="D402" i="1"/>
  <c r="D403" i="1"/>
  <c r="D291" i="1"/>
  <c r="D292" i="1"/>
  <c r="D293" i="1"/>
  <c r="D294" i="1"/>
  <c r="D225" i="1"/>
  <c r="D226" i="1"/>
  <c r="D202" i="1"/>
  <c r="D203" i="1"/>
  <c r="D284" i="1"/>
  <c r="D285" i="1"/>
  <c r="D410" i="1"/>
  <c r="D411" i="1"/>
  <c r="D213" i="1"/>
  <c r="D214" i="1"/>
  <c r="D215" i="1"/>
  <c r="D223" i="1"/>
  <c r="D224" i="1"/>
  <c r="D242" i="1"/>
  <c r="D277" i="1"/>
  <c r="D278" i="1"/>
  <c r="D301" i="1"/>
  <c r="D302" i="1"/>
  <c r="D303" i="1"/>
  <c r="D304" i="1"/>
  <c r="D386" i="1"/>
  <c r="D387" i="1"/>
  <c r="D392" i="1"/>
  <c r="D393" i="1"/>
  <c r="D394" i="1"/>
  <c r="D395" i="1"/>
  <c r="D206" i="1"/>
  <c r="D209" i="1"/>
  <c r="D210" i="1"/>
  <c r="D211" i="1"/>
  <c r="D212" i="1"/>
  <c r="D243" i="1"/>
  <c r="D244" i="1"/>
  <c r="D245" i="1"/>
  <c r="D286" i="1"/>
  <c r="D287" i="1"/>
  <c r="D326" i="1"/>
  <c r="D327" i="1"/>
  <c r="D328" i="1"/>
  <c r="D295" i="1"/>
  <c r="D338" i="1"/>
  <c r="D339" i="1"/>
  <c r="D391" i="1"/>
  <c r="D408" i="1"/>
  <c r="D409" i="1"/>
  <c r="D340" i="1"/>
  <c r="D341" i="1"/>
  <c r="D335" i="1"/>
  <c r="D336" i="1"/>
  <c r="D337" i="1"/>
  <c r="D329" i="1"/>
  <c r="D330" i="1"/>
  <c r="D331" i="1"/>
  <c r="D332" i="1"/>
  <c r="D333" i="1"/>
  <c r="D334" i="1"/>
  <c r="D374" i="1"/>
  <c r="D373" i="1"/>
  <c r="D378" i="1"/>
  <c r="D379" i="1"/>
  <c r="D380" i="1"/>
  <c r="D381" i="1"/>
  <c r="D382" i="1"/>
  <c r="D429" i="1"/>
  <c r="D430" i="1"/>
  <c r="D431" i="1"/>
  <c r="D432" i="1"/>
  <c r="D433" i="1"/>
  <c r="D434" i="1"/>
  <c r="D436" i="1"/>
  <c r="D420" i="1"/>
  <c r="D419" i="1"/>
  <c r="D405" i="1"/>
  <c r="D404" i="1"/>
  <c r="D398" i="1"/>
  <c r="D397" i="1"/>
  <c r="D396" i="1"/>
  <c r="D416" i="1"/>
  <c r="D415" i="1"/>
  <c r="D359" i="1"/>
  <c r="D358" i="1"/>
  <c r="D361" i="1"/>
  <c r="D360" i="1"/>
  <c r="D367" i="1"/>
  <c r="D366" i="1"/>
  <c r="D365" i="1"/>
  <c r="D372" i="1"/>
  <c r="D371" i="1"/>
  <c r="D370" i="1"/>
  <c r="D369" i="1"/>
  <c r="D368" i="1"/>
  <c r="D364" i="1"/>
  <c r="D363" i="1"/>
  <c r="D362" i="1"/>
  <c r="D357" i="1"/>
  <c r="D356" i="1"/>
  <c r="D349" i="1"/>
  <c r="D348" i="1"/>
  <c r="D347" i="1"/>
  <c r="D413" i="1"/>
  <c r="D412" i="1"/>
  <c r="D343" i="1"/>
  <c r="D342" i="1"/>
  <c r="D346" i="1"/>
  <c r="D345" i="1"/>
  <c r="D344" i="1"/>
  <c r="D355" i="1"/>
  <c r="D354" i="1"/>
  <c r="D353" i="1"/>
  <c r="D352" i="1"/>
  <c r="D351" i="1"/>
  <c r="D350" i="1"/>
  <c r="C620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AD147" i="1"/>
  <c r="Q269" i="1"/>
  <c r="AD212" i="1"/>
  <c r="Q268" i="1"/>
  <c r="AD238" i="1"/>
  <c r="Q267" i="1"/>
  <c r="AD250" i="1"/>
  <c r="Q266" i="1"/>
  <c r="AD136" i="1"/>
  <c r="Q265" i="1"/>
  <c r="AD73" i="1"/>
  <c r="Q264" i="1"/>
  <c r="AD63" i="1"/>
  <c r="Q263" i="1"/>
  <c r="AD58" i="1"/>
  <c r="Q262" i="1"/>
  <c r="AD92" i="1"/>
  <c r="Q261" i="1"/>
  <c r="AD203" i="1"/>
  <c r="Q260" i="1"/>
  <c r="AD199" i="1"/>
  <c r="Q259" i="1"/>
  <c r="AD103" i="1"/>
  <c r="Q258" i="1"/>
  <c r="AD281" i="1"/>
  <c r="Q257" i="1"/>
  <c r="AD145" i="1"/>
  <c r="Q256" i="1"/>
  <c r="AD146" i="1"/>
  <c r="Q255" i="1"/>
  <c r="AD129" i="1"/>
  <c r="Q254" i="1"/>
  <c r="AD291" i="1"/>
  <c r="Q253" i="1"/>
  <c r="AD102" i="1"/>
  <c r="Q252" i="1"/>
  <c r="AD303" i="1"/>
  <c r="Q251" i="1"/>
  <c r="AD230" i="1"/>
  <c r="Q250" i="1"/>
  <c r="AD218" i="1"/>
  <c r="Q249" i="1"/>
  <c r="AD60" i="1"/>
  <c r="Q248" i="1"/>
  <c r="AD173" i="1"/>
  <c r="Q247" i="1"/>
  <c r="AD97" i="1"/>
  <c r="Q246" i="1"/>
  <c r="AD293" i="1"/>
  <c r="Q245" i="1"/>
  <c r="AD231" i="1"/>
  <c r="Q244" i="1"/>
  <c r="AD64" i="1"/>
  <c r="Q243" i="1"/>
  <c r="AD309" i="1"/>
  <c r="Q242" i="1"/>
  <c r="AD223" i="1"/>
  <c r="Q241" i="1"/>
  <c r="AD131" i="1"/>
  <c r="Q240" i="1"/>
  <c r="AD39" i="1"/>
  <c r="Q239" i="1"/>
  <c r="AD179" i="1"/>
  <c r="Q238" i="1"/>
  <c r="AD49" i="1"/>
  <c r="Q237" i="1"/>
  <c r="AD78" i="1"/>
  <c r="Q236" i="1"/>
  <c r="AD255" i="1"/>
  <c r="Q235" i="1"/>
  <c r="AD107" i="1"/>
  <c r="Q234" i="1"/>
  <c r="AD195" i="1"/>
  <c r="Q233" i="1"/>
  <c r="AD254" i="1"/>
  <c r="Q232" i="1"/>
  <c r="AD169" i="1"/>
  <c r="Q231" i="1"/>
  <c r="AD93" i="1"/>
  <c r="Q230" i="1"/>
  <c r="AD273" i="1"/>
  <c r="Q229" i="1"/>
  <c r="AD86" i="1"/>
  <c r="Q228" i="1"/>
  <c r="AD172" i="1"/>
  <c r="Q227" i="1"/>
  <c r="AD232" i="1"/>
  <c r="Q226" i="1"/>
  <c r="AD313" i="1"/>
  <c r="Q225" i="1"/>
  <c r="AD271" i="1"/>
  <c r="Q224" i="1"/>
  <c r="AD130" i="1"/>
  <c r="Q223" i="1"/>
  <c r="AD196" i="1"/>
  <c r="Q222" i="1"/>
  <c r="AD94" i="1"/>
  <c r="Q221" i="1"/>
  <c r="AD176" i="1"/>
  <c r="Q220" i="1"/>
  <c r="AD144" i="1"/>
  <c r="Q219" i="1"/>
  <c r="AD168" i="1"/>
  <c r="Q218" i="1"/>
  <c r="AD116" i="1"/>
  <c r="Q217" i="1"/>
  <c r="AD228" i="1"/>
  <c r="Q216" i="1"/>
  <c r="AD117" i="1"/>
  <c r="Q215" i="1"/>
  <c r="AD224" i="1"/>
  <c r="Q214" i="1"/>
  <c r="AD166" i="1"/>
  <c r="Q213" i="1"/>
  <c r="AD65" i="1"/>
  <c r="Q212" i="1"/>
  <c r="AD84" i="1"/>
  <c r="Q211" i="1"/>
  <c r="AD314" i="1"/>
  <c r="Q210" i="1"/>
  <c r="AD260" i="1"/>
  <c r="Q209" i="1"/>
  <c r="AD286" i="1"/>
  <c r="Q208" i="1"/>
  <c r="AD215" i="1"/>
  <c r="Q207" i="1"/>
  <c r="AD70" i="1"/>
  <c r="Q206" i="1"/>
  <c r="AD45" i="1"/>
  <c r="Q205" i="1"/>
  <c r="AD100" i="1"/>
  <c r="Q204" i="1"/>
  <c r="AD125" i="1"/>
  <c r="Q203" i="1"/>
  <c r="AD192" i="1"/>
  <c r="Q202" i="1"/>
  <c r="AD225" i="1"/>
  <c r="Q201" i="1"/>
  <c r="AD306" i="1"/>
  <c r="Q200" i="1"/>
  <c r="AD259" i="1"/>
  <c r="Q199" i="1"/>
  <c r="AD325" i="1"/>
  <c r="Q198" i="1"/>
  <c r="AD279" i="1"/>
  <c r="Q197" i="1"/>
  <c r="AD133" i="1"/>
  <c r="Q196" i="1"/>
  <c r="AD159" i="1"/>
  <c r="Q195" i="1"/>
  <c r="AD221" i="1"/>
  <c r="Q194" i="1"/>
  <c r="AD262" i="1"/>
  <c r="Q193" i="1"/>
  <c r="AD56" i="1"/>
  <c r="Q192" i="1"/>
  <c r="AD190" i="1"/>
  <c r="Q191" i="1"/>
  <c r="AD246" i="1"/>
  <c r="Q190" i="1"/>
  <c r="AD96" i="1"/>
  <c r="Q189" i="1"/>
  <c r="AD289" i="1"/>
  <c r="Q188" i="1"/>
  <c r="AD284" i="1"/>
  <c r="Q187" i="1"/>
  <c r="AD233" i="1"/>
  <c r="Q186" i="1"/>
  <c r="AD174" i="1"/>
  <c r="Q185" i="1"/>
  <c r="AD237" i="1"/>
  <c r="Q184" i="1"/>
  <c r="AD124" i="1"/>
  <c r="Q183" i="1"/>
  <c r="AD276" i="1"/>
  <c r="Q182" i="1"/>
  <c r="AD193" i="1"/>
  <c r="Q181" i="1"/>
  <c r="AD301" i="1"/>
  <c r="Q180" i="1"/>
  <c r="AD217" i="1"/>
  <c r="Q179" i="1"/>
  <c r="AD43" i="1"/>
  <c r="Q178" i="1"/>
  <c r="AD186" i="1"/>
  <c r="Q177" i="1"/>
  <c r="AD101" i="1"/>
  <c r="Q176" i="1"/>
  <c r="AD66" i="1"/>
  <c r="Q175" i="1"/>
  <c r="AD95" i="1"/>
  <c r="Q174" i="1"/>
  <c r="AD55" i="1"/>
  <c r="Q173" i="1"/>
  <c r="AD98" i="1"/>
  <c r="Q172" i="1"/>
  <c r="AD249" i="1"/>
  <c r="Q171" i="1"/>
  <c r="AD47" i="1"/>
  <c r="Q170" i="1"/>
  <c r="AD187" i="1"/>
  <c r="Q169" i="1"/>
  <c r="AD297" i="1"/>
  <c r="Q168" i="1"/>
  <c r="AD197" i="1"/>
  <c r="Q167" i="1"/>
  <c r="AD57" i="1"/>
  <c r="Q166" i="1"/>
  <c r="AD272" i="1"/>
  <c r="Q165" i="1"/>
  <c r="AD68" i="1"/>
  <c r="Q164" i="1"/>
  <c r="AD177" i="1"/>
  <c r="Q163" i="1"/>
  <c r="AD266" i="1"/>
  <c r="Q162" i="1"/>
  <c r="AD150" i="1"/>
  <c r="Q161" i="1"/>
  <c r="AD41" i="1"/>
  <c r="Q160" i="1"/>
  <c r="AD137" i="1"/>
  <c r="Q159" i="1"/>
  <c r="AD62" i="1"/>
  <c r="Q158" i="1"/>
  <c r="AD270" i="1"/>
  <c r="Q157" i="1"/>
  <c r="AD188" i="1"/>
  <c r="Q156" i="1"/>
  <c r="AD110" i="1"/>
  <c r="Q155" i="1"/>
  <c r="AD135" i="1"/>
  <c r="Q154" i="1"/>
  <c r="AD160" i="1"/>
  <c r="Q153" i="1"/>
  <c r="AD143" i="1"/>
  <c r="Q152" i="1"/>
  <c r="AD109" i="1"/>
  <c r="Q151" i="1"/>
  <c r="AD88" i="1"/>
  <c r="Q150" i="1"/>
  <c r="AD213" i="1"/>
  <c r="Q149" i="1"/>
  <c r="AD38" i="1"/>
  <c r="Q148" i="1"/>
  <c r="AD165" i="1"/>
  <c r="Q147" i="1"/>
  <c r="AD158" i="1"/>
  <c r="Q146" i="1"/>
  <c r="AD240" i="1"/>
  <c r="AD183" i="1"/>
  <c r="K144" i="1"/>
  <c r="J144" i="1"/>
  <c r="I144" i="1"/>
  <c r="H144" i="1"/>
  <c r="G144" i="1"/>
  <c r="F144" i="1"/>
  <c r="E144" i="1"/>
  <c r="AD121" i="1"/>
  <c r="K143" i="1"/>
  <c r="J143" i="1"/>
  <c r="I143" i="1"/>
  <c r="H143" i="1"/>
  <c r="G143" i="1"/>
  <c r="F143" i="1"/>
  <c r="E143" i="1"/>
  <c r="AD104" i="1"/>
  <c r="K142" i="1"/>
  <c r="J142" i="1"/>
  <c r="I142" i="1"/>
  <c r="H142" i="1"/>
  <c r="G142" i="1"/>
  <c r="F142" i="1"/>
  <c r="E142" i="1"/>
  <c r="AD122" i="1"/>
  <c r="K141" i="1"/>
  <c r="J141" i="1"/>
  <c r="I141" i="1"/>
  <c r="H141" i="1"/>
  <c r="G141" i="1"/>
  <c r="F141" i="1"/>
  <c r="E141" i="1"/>
  <c r="AD214" i="1"/>
  <c r="D140" i="1"/>
  <c r="AD234" i="1"/>
  <c r="D139" i="1"/>
  <c r="AD132" i="1"/>
  <c r="D138" i="1"/>
  <c r="AD204" i="1"/>
  <c r="D137" i="1"/>
  <c r="AD154" i="1"/>
  <c r="D136" i="1"/>
  <c r="AD222" i="1"/>
  <c r="D135" i="1"/>
  <c r="AD152" i="1"/>
  <c r="D134" i="1"/>
  <c r="AD322" i="1"/>
  <c r="D133" i="1"/>
  <c r="AD251" i="1"/>
  <c r="D132" i="1"/>
  <c r="AD118" i="1"/>
  <c r="D131" i="1"/>
  <c r="AD87" i="1"/>
  <c r="D130" i="1"/>
  <c r="AD304" i="1"/>
  <c r="D129" i="1"/>
  <c r="AD316" i="1"/>
  <c r="D128" i="1"/>
  <c r="AD52" i="1"/>
  <c r="D127" i="1"/>
  <c r="AD164" i="1"/>
  <c r="D126" i="1"/>
  <c r="AD323" i="1"/>
  <c r="D125" i="1"/>
  <c r="AD139" i="1"/>
  <c r="D124" i="1"/>
  <c r="AD72" i="1"/>
  <c r="D123" i="1"/>
  <c r="AD140" i="1"/>
  <c r="D122" i="1"/>
  <c r="AD205" i="1"/>
  <c r="D121" i="1"/>
  <c r="AD248" i="1"/>
  <c r="D120" i="1"/>
  <c r="AD226" i="1"/>
  <c r="D119" i="1"/>
  <c r="AD44" i="1"/>
  <c r="D118" i="1"/>
  <c r="AD299" i="1"/>
  <c r="D117" i="1"/>
  <c r="AD288" i="1"/>
  <c r="D116" i="1"/>
  <c r="AD283" i="1"/>
  <c r="D115" i="1"/>
  <c r="AD295" i="1"/>
  <c r="D114" i="1"/>
  <c r="AD245" i="1"/>
  <c r="D113" i="1"/>
  <c r="AD69" i="1"/>
  <c r="D112" i="1"/>
  <c r="AD106" i="1"/>
  <c r="D111" i="1"/>
  <c r="AD162" i="1"/>
  <c r="D110" i="1"/>
  <c r="AD115" i="1"/>
  <c r="D109" i="1"/>
  <c r="AD219" i="1"/>
  <c r="D108" i="1"/>
  <c r="AD307" i="1"/>
  <c r="D107" i="1"/>
  <c r="AD153" i="1"/>
  <c r="D106" i="1"/>
  <c r="AD208" i="1"/>
  <c r="D105" i="1"/>
  <c r="AD138" i="1"/>
  <c r="D104" i="1"/>
  <c r="AD253" i="1"/>
  <c r="D103" i="1"/>
  <c r="AD108" i="1"/>
  <c r="D102" i="1"/>
  <c r="AD184" i="1"/>
  <c r="D101" i="1"/>
  <c r="AD155" i="1"/>
  <c r="D100" i="1"/>
  <c r="AD216" i="1"/>
  <c r="D99" i="1"/>
  <c r="AD300" i="1"/>
  <c r="D98" i="1"/>
  <c r="AD274" i="1"/>
  <c r="D97" i="1"/>
  <c r="AD287" i="1"/>
  <c r="D96" i="1"/>
  <c r="AD315" i="1"/>
  <c r="D95" i="1"/>
  <c r="AD200" i="1"/>
  <c r="D94" i="1"/>
  <c r="AD167" i="1"/>
  <c r="D93" i="1"/>
  <c r="AD302" i="1"/>
  <c r="D92" i="1"/>
  <c r="AD105" i="1"/>
  <c r="D91" i="1"/>
  <c r="AD148" i="1"/>
  <c r="D90" i="1"/>
  <c r="AD296" i="1"/>
  <c r="D89" i="1"/>
  <c r="AD310" i="1"/>
  <c r="D88" i="1"/>
  <c r="AD261" i="1"/>
  <c r="D87" i="1"/>
  <c r="AD126" i="1"/>
  <c r="D86" i="1"/>
  <c r="AD51" i="1"/>
  <c r="D85" i="1"/>
  <c r="AD201" i="1"/>
  <c r="D84" i="1"/>
  <c r="AD50" i="1"/>
  <c r="D83" i="1"/>
  <c r="AD282" i="1"/>
  <c r="D82" i="1"/>
  <c r="AD252" i="1"/>
  <c r="D81" i="1"/>
  <c r="AD82" i="1"/>
  <c r="D80" i="1"/>
  <c r="AD99" i="1"/>
  <c r="D79" i="1"/>
  <c r="AD71" i="1"/>
  <c r="D78" i="1"/>
  <c r="AD80" i="1"/>
  <c r="D77" i="1"/>
  <c r="AD294" i="1"/>
  <c r="D76" i="1"/>
  <c r="AD319" i="1"/>
  <c r="T75" i="1"/>
  <c r="S75" i="1"/>
  <c r="R75" i="1"/>
  <c r="Q75" i="1"/>
  <c r="P75" i="1"/>
  <c r="O75" i="1"/>
  <c r="N75" i="1"/>
  <c r="D75" i="1"/>
  <c r="AD119" i="1"/>
  <c r="D74" i="1"/>
  <c r="AD141" i="1"/>
  <c r="D73" i="1"/>
  <c r="AD202" i="1"/>
  <c r="D72" i="1"/>
  <c r="AD46" i="1"/>
  <c r="D71" i="1"/>
  <c r="AD156" i="1"/>
  <c r="D70" i="1"/>
  <c r="AD142" i="1"/>
  <c r="D69" i="1"/>
  <c r="AD206" i="1"/>
  <c r="D68" i="1"/>
  <c r="AD149" i="1"/>
  <c r="D67" i="1"/>
  <c r="AD42" i="1"/>
  <c r="D66" i="1"/>
  <c r="AD67" i="1"/>
  <c r="D65" i="1"/>
  <c r="AD180" i="1"/>
  <c r="D64" i="1"/>
  <c r="AD256" i="1"/>
  <c r="D63" i="1"/>
  <c r="AD134" i="1"/>
  <c r="D62" i="1"/>
  <c r="AD181" i="1"/>
  <c r="D61" i="1"/>
  <c r="AD37" i="1"/>
  <c r="D60" i="1"/>
  <c r="D143" i="1" s="1"/>
  <c r="AD113" i="1"/>
  <c r="D59" i="1"/>
  <c r="D141" i="1" s="1"/>
  <c r="AD267" i="1"/>
  <c r="D58" i="1"/>
  <c r="AD189" i="1"/>
  <c r="D57" i="1"/>
  <c r="AD81" i="1"/>
  <c r="D56" i="1"/>
  <c r="AD120" i="1"/>
  <c r="D55" i="1"/>
  <c r="AD229" i="1"/>
  <c r="D54" i="1"/>
  <c r="AD114" i="1"/>
  <c r="D53" i="1"/>
  <c r="AD292" i="1"/>
  <c r="D52" i="1"/>
  <c r="AD79" i="1"/>
  <c r="D51" i="1"/>
  <c r="AD277" i="1"/>
  <c r="D50" i="1"/>
  <c r="AD89" i="1"/>
  <c r="D49" i="1"/>
  <c r="AD191" i="1"/>
  <c r="D48" i="1"/>
  <c r="AD163" i="1"/>
  <c r="D47" i="1"/>
  <c r="AD194" i="1"/>
  <c r="D46" i="1"/>
  <c r="AD269" i="1"/>
  <c r="D45" i="1"/>
  <c r="AD36" i="1"/>
  <c r="D44" i="1"/>
  <c r="AD48" i="1"/>
  <c r="D43" i="1"/>
  <c r="AD198" i="1"/>
  <c r="D42" i="1"/>
  <c r="AD111" i="1"/>
  <c r="D41" i="1"/>
  <c r="AD127" i="1"/>
  <c r="D40" i="1"/>
  <c r="AD227" i="1"/>
  <c r="D39" i="1"/>
  <c r="AD35" i="1"/>
  <c r="D38" i="1"/>
  <c r="AD34" i="1"/>
  <c r="D37" i="1"/>
  <c r="AD33" i="1"/>
  <c r="D36" i="1"/>
  <c r="AD32" i="1"/>
  <c r="D35" i="1"/>
  <c r="AD31" i="1"/>
  <c r="D34" i="1"/>
  <c r="AD30" i="1"/>
  <c r="D33" i="1"/>
  <c r="AD324" i="1"/>
  <c r="D32" i="1"/>
  <c r="AD241" i="1"/>
  <c r="D31" i="1"/>
  <c r="AD59" i="1"/>
  <c r="D30" i="1"/>
  <c r="D29" i="1"/>
  <c r="D28" i="1"/>
  <c r="D27" i="1"/>
  <c r="D26" i="1"/>
  <c r="D25" i="1"/>
  <c r="D24" i="1"/>
  <c r="D23" i="1"/>
  <c r="D22" i="1"/>
  <c r="D21" i="1"/>
  <c r="N20" i="1"/>
  <c r="D20" i="1"/>
  <c r="N19" i="1"/>
  <c r="D19" i="1"/>
  <c r="N18" i="1"/>
  <c r="D18" i="1"/>
  <c r="N17" i="1"/>
  <c r="D17" i="1"/>
  <c r="N16" i="1"/>
  <c r="D16" i="1"/>
  <c r="N15" i="1"/>
  <c r="D15" i="1"/>
  <c r="N14" i="1"/>
  <c r="D14" i="1"/>
  <c r="N13" i="1"/>
  <c r="D13" i="1"/>
  <c r="N12" i="1"/>
  <c r="D12" i="1"/>
  <c r="N11" i="1"/>
  <c r="D11" i="1"/>
  <c r="N10" i="1"/>
  <c r="D10" i="1"/>
  <c r="N9" i="1"/>
  <c r="D9" i="1"/>
  <c r="N8" i="1"/>
  <c r="D8" i="1"/>
  <c r="N7" i="1"/>
  <c r="D7" i="1"/>
  <c r="N6" i="1"/>
  <c r="D6" i="1"/>
  <c r="N5" i="1"/>
  <c r="D5" i="1"/>
  <c r="N4" i="1"/>
  <c r="D4" i="1"/>
  <c r="N3" i="1"/>
  <c r="D3" i="1"/>
  <c r="N2" i="1"/>
  <c r="D2" i="1"/>
  <c r="N1" i="1"/>
  <c r="D1" i="1"/>
  <c r="D142" i="1" l="1"/>
  <c r="D144" i="1"/>
</calcChain>
</file>

<file path=xl/sharedStrings.xml><?xml version="1.0" encoding="utf-8"?>
<sst xmlns="http://schemas.openxmlformats.org/spreadsheetml/2006/main" count="3215" uniqueCount="1673">
  <si>
    <t>Leafer</t>
  </si>
  <si>
    <t>Sticker</t>
  </si>
  <si>
    <t>Tree-a-tar</t>
  </si>
  <si>
    <t>Fwoochar</t>
  </si>
  <si>
    <t>Charchar</t>
  </si>
  <si>
    <t>Charwoo</t>
  </si>
  <si>
    <t>Poletad</t>
  </si>
  <si>
    <t>Tadwhirl</t>
  </si>
  <si>
    <t>Tadtoad</t>
  </si>
  <si>
    <t>Twigzig</t>
  </si>
  <si>
    <t>Twanzig</t>
  </si>
  <si>
    <t>Sapwin</t>
  </si>
  <si>
    <t>Treewin</t>
  </si>
  <si>
    <t>Hops</t>
  </si>
  <si>
    <t>Bouncey</t>
  </si>
  <si>
    <t>Hammo</t>
  </si>
  <si>
    <t>HammyBoy</t>
  </si>
  <si>
    <t>Rocky</t>
  </si>
  <si>
    <t>Boulder</t>
  </si>
  <si>
    <t>Blaster</t>
  </si>
  <si>
    <t>Spike</t>
  </si>
  <si>
    <t>Spiko</t>
  </si>
  <si>
    <t>Spikoga</t>
  </si>
  <si>
    <t>Chompee</t>
  </si>
  <si>
    <t>Chompo</t>
  </si>
  <si>
    <t>Duckwee</t>
  </si>
  <si>
    <t>Duckwack</t>
  </si>
  <si>
    <t>Duckstrike</t>
  </si>
  <si>
    <t>Chirpus</t>
  </si>
  <si>
    <t>Quackus</t>
  </si>
  <si>
    <t>Crane</t>
  </si>
  <si>
    <t>Plankik</t>
  </si>
  <si>
    <t>Nug</t>
  </si>
  <si>
    <t>Contrug</t>
  </si>
  <si>
    <t>Wasp</t>
  </si>
  <si>
    <t>Mosquitto</t>
  </si>
  <si>
    <t>Cluuz</t>
  </si>
  <si>
    <t>Poof</t>
  </si>
  <si>
    <t>Hast</t>
  </si>
  <si>
    <t>Poov</t>
  </si>
  <si>
    <t>Grust</t>
  </si>
  <si>
    <t>Smartwiz</t>
  </si>
  <si>
    <t>Vinnie</t>
  </si>
  <si>
    <t>Shookwat</t>
  </si>
  <si>
    <t>Wattwo</t>
  </si>
  <si>
    <t>Corry</t>
  </si>
  <si>
    <t>Ssordy</t>
  </si>
  <si>
    <t>Bugik</t>
  </si>
  <si>
    <t>Swordik</t>
  </si>
  <si>
    <t>Ninjakik</t>
  </si>
  <si>
    <t>Karachop</t>
  </si>
  <si>
    <t>Karapunch</t>
  </si>
  <si>
    <t>Karakik</t>
  </si>
  <si>
    <t>Karasword</t>
  </si>
  <si>
    <t>Sludger</t>
  </si>
  <si>
    <t>Gludge</t>
  </si>
  <si>
    <t>Wing</t>
  </si>
  <si>
    <t>Toxing</t>
  </si>
  <si>
    <t>Jorid</t>
  </si>
  <si>
    <t>Tentarid</t>
  </si>
  <si>
    <t>Hedgehog</t>
  </si>
  <si>
    <t>Bulldozer</t>
  </si>
  <si>
    <t>Daray</t>
  </si>
  <si>
    <t>Spinaquata</t>
  </si>
  <si>
    <t>Toree</t>
  </si>
  <si>
    <t>Turdee</t>
  </si>
  <si>
    <t>Ali</t>
  </si>
  <si>
    <t>Shomp</t>
  </si>
  <si>
    <t>Rhypo</t>
  </si>
  <si>
    <t>Rhynee</t>
  </si>
  <si>
    <t>Rhypolar</t>
  </si>
  <si>
    <t>Ignite</t>
  </si>
  <si>
    <t>Blaze</t>
  </si>
  <si>
    <t>Inferno</t>
  </si>
  <si>
    <t>Flamehead</t>
  </si>
  <si>
    <t>Fireshard</t>
  </si>
  <si>
    <t>Blastflames</t>
  </si>
  <si>
    <t>Heater</t>
  </si>
  <si>
    <t>Froller</t>
  </si>
  <si>
    <t>Cloudorus</t>
  </si>
  <si>
    <t>Stormatus</t>
  </si>
  <si>
    <t>Creeflare</t>
  </si>
  <si>
    <t>Flyflare</t>
  </si>
  <si>
    <t>Savahger</t>
  </si>
  <si>
    <t>Show</t>
  </si>
  <si>
    <t>Dark Zombie</t>
  </si>
  <si>
    <t>Diftery</t>
  </si>
  <si>
    <t>Electroball</t>
  </si>
  <si>
    <t>Ghast</t>
  </si>
  <si>
    <t>Flast</t>
  </si>
  <si>
    <t>Magie</t>
  </si>
  <si>
    <t>Cumin</t>
  </si>
  <si>
    <t>Droid</t>
  </si>
  <si>
    <t>Armoid</t>
  </si>
  <si>
    <t>Soldrota</t>
  </si>
  <si>
    <t>Dragee</t>
  </si>
  <si>
    <t>Draga</t>
  </si>
  <si>
    <t>Drageye</t>
  </si>
  <si>
    <t>Wando</t>
  </si>
  <si>
    <t>Sparkdust</t>
  </si>
  <si>
    <t>Splame</t>
  </si>
  <si>
    <t>Tinkie</t>
  </si>
  <si>
    <t>Shawar</t>
  </si>
  <si>
    <t>Shaboom</t>
  </si>
  <si>
    <t>Dogo</t>
  </si>
  <si>
    <t>Doleaf</t>
  </si>
  <si>
    <t>Drame</t>
  </si>
  <si>
    <t>Daqua</t>
  </si>
  <si>
    <t>Doxic</t>
  </si>
  <si>
    <t>Dratt</t>
  </si>
  <si>
    <t>Drock</t>
  </si>
  <si>
    <t>Dokurk</t>
  </si>
  <si>
    <t>Drotal</t>
  </si>
  <si>
    <t>Drunch</t>
  </si>
  <si>
    <t>Draco</t>
  </si>
  <si>
    <t>Drakik</t>
  </si>
  <si>
    <t>Plantro</t>
  </si>
  <si>
    <t>Leafron</t>
  </si>
  <si>
    <t>Planterra</t>
  </si>
  <si>
    <t>Sparky</t>
  </si>
  <si>
    <t>Fireball</t>
  </si>
  <si>
    <t>Meteator</t>
  </si>
  <si>
    <t>Taddy</t>
  </si>
  <si>
    <t>Tarow</t>
  </si>
  <si>
    <t>Tadagater</t>
  </si>
  <si>
    <t>Zaparch</t>
  </si>
  <si>
    <t>Zaflame</t>
  </si>
  <si>
    <t>Holgor</t>
  </si>
  <si>
    <t>Larvangor</t>
  </si>
  <si>
    <t>Fleigor</t>
  </si>
  <si>
    <t>Halgatoria</t>
  </si>
  <si>
    <t>Lavatoria</t>
  </si>
  <si>
    <t>Wingatoria</t>
  </si>
  <si>
    <t>Soardine-Fire</t>
  </si>
  <si>
    <t>Potions:</t>
  </si>
  <si>
    <t>Super Potions:</t>
  </si>
  <si>
    <t>Hyper Potions:</t>
  </si>
  <si>
    <t>Full Heals:</t>
  </si>
  <si>
    <t>Full Restores:</t>
  </si>
  <si>
    <t>Revives:</t>
  </si>
  <si>
    <t>Max Revives:</t>
  </si>
  <si>
    <t>Pokeballs:</t>
  </si>
  <si>
    <t>Great Balls:</t>
  </si>
  <si>
    <t>Ultra Balls:</t>
  </si>
  <si>
    <t>TMS:</t>
  </si>
  <si>
    <t>Rare Candies:</t>
  </si>
  <si>
    <t>HMS:</t>
  </si>
  <si>
    <t>HM01</t>
  </si>
  <si>
    <t>HM02</t>
  </si>
  <si>
    <t>HM03</t>
  </si>
  <si>
    <t>HM04</t>
  </si>
  <si>
    <t>HM05</t>
  </si>
  <si>
    <t>HM06</t>
  </si>
  <si>
    <t>HM07</t>
  </si>
  <si>
    <t>HM08</t>
  </si>
  <si>
    <t>TM08</t>
  </si>
  <si>
    <t>Badges:</t>
  </si>
  <si>
    <t>Shards:</t>
  </si>
  <si>
    <t>Cut</t>
  </si>
  <si>
    <t>Soardine-Atk</t>
  </si>
  <si>
    <t>Soardine-Def</t>
  </si>
  <si>
    <t>TM11</t>
  </si>
  <si>
    <t>Sand Rush</t>
  </si>
  <si>
    <t>INFINITE</t>
  </si>
  <si>
    <t>TM06</t>
  </si>
  <si>
    <t>Gelco-W</t>
  </si>
  <si>
    <t>Defiant</t>
  </si>
  <si>
    <t>Unerodible</t>
  </si>
  <si>
    <t>Gelco-F</t>
  </si>
  <si>
    <t>Lizardo-F</t>
  </si>
  <si>
    <t>Lizardo-W</t>
  </si>
  <si>
    <t>Tara-Z</t>
  </si>
  <si>
    <t>Tara-X</t>
  </si>
  <si>
    <t>Gelco-G</t>
  </si>
  <si>
    <t>Lizardo-G</t>
  </si>
  <si>
    <t>Normal</t>
  </si>
  <si>
    <t>Fire</t>
  </si>
  <si>
    <t>Normal-Fire</t>
  </si>
  <si>
    <t>Water</t>
  </si>
  <si>
    <t>Normal-Water</t>
  </si>
  <si>
    <t>Grass</t>
  </si>
  <si>
    <t>Normal-Grass</t>
  </si>
  <si>
    <t>Electric</t>
  </si>
  <si>
    <t>Normal-Electric</t>
  </si>
  <si>
    <t>Ice</t>
  </si>
  <si>
    <t>Normal-Ice</t>
  </si>
  <si>
    <t>Fighting</t>
  </si>
  <si>
    <t>Normal-Fighting</t>
  </si>
  <si>
    <t>Poison</t>
  </si>
  <si>
    <t>Normal-Poison</t>
  </si>
  <si>
    <t>Ground</t>
  </si>
  <si>
    <t>Normal-Ground</t>
  </si>
  <si>
    <t>Flying</t>
  </si>
  <si>
    <t>Normal-Flying</t>
  </si>
  <si>
    <t>Psychic</t>
  </si>
  <si>
    <t>Normal-Psychic</t>
  </si>
  <si>
    <t>Bug</t>
  </si>
  <si>
    <t>Normal-Bug</t>
  </si>
  <si>
    <t>Rock</t>
  </si>
  <si>
    <t>Normal-Rock</t>
  </si>
  <si>
    <t>Ghost</t>
  </si>
  <si>
    <t>Normal-Ghost</t>
  </si>
  <si>
    <t>Dragon</t>
  </si>
  <si>
    <t>Normal-Dragon</t>
  </si>
  <si>
    <t>Dark</t>
  </si>
  <si>
    <t>Normal-Dark</t>
  </si>
  <si>
    <t>Steel</t>
  </si>
  <si>
    <t>Normal-Steel</t>
  </si>
  <si>
    <t>Light</t>
  </si>
  <si>
    <t>Normal-Light</t>
  </si>
  <si>
    <t>Magic</t>
  </si>
  <si>
    <t>Normal-Magic</t>
  </si>
  <si>
    <t>Galactic</t>
  </si>
  <si>
    <t>Normal-Galactic</t>
  </si>
  <si>
    <t>Fire-Water</t>
  </si>
  <si>
    <t>Fire-Grass</t>
  </si>
  <si>
    <t>Fire-Electric</t>
  </si>
  <si>
    <t>Fire-Ice</t>
  </si>
  <si>
    <t>Fire-Fighting</t>
  </si>
  <si>
    <t>Fire-Poison</t>
  </si>
  <si>
    <t>Fire-Ground</t>
  </si>
  <si>
    <t>Fire-Flying</t>
  </si>
  <si>
    <t>Fire-Psychic</t>
  </si>
  <si>
    <t>Fire-Bug</t>
  </si>
  <si>
    <t>Fire-Rock</t>
  </si>
  <si>
    <t>Fire-Ghost</t>
  </si>
  <si>
    <t>Fire-Dragon</t>
  </si>
  <si>
    <t>Fire-Dark</t>
  </si>
  <si>
    <t>Fire-Steel</t>
  </si>
  <si>
    <t>Fire-Light</t>
  </si>
  <si>
    <t>Fire-Magic</t>
  </si>
  <si>
    <t>Fire-Galactic</t>
  </si>
  <si>
    <t>Water-Grass</t>
  </si>
  <si>
    <t>Water-Electric</t>
  </si>
  <si>
    <t>Water-Ice</t>
  </si>
  <si>
    <t>Water-Fighting</t>
  </si>
  <si>
    <t>129-131</t>
  </si>
  <si>
    <t>Water-Poison</t>
  </si>
  <si>
    <t>Water-Ground</t>
  </si>
  <si>
    <t>Water-Flying</t>
  </si>
  <si>
    <t>Water-Psychic</t>
  </si>
  <si>
    <t>Water-Bug</t>
  </si>
  <si>
    <t>Water-Rock</t>
  </si>
  <si>
    <t>Water-Ghost</t>
  </si>
  <si>
    <t>Water-Dragon</t>
  </si>
  <si>
    <t>Water-Dark</t>
  </si>
  <si>
    <t>Water-Steel</t>
  </si>
  <si>
    <t>Water-Light</t>
  </si>
  <si>
    <t>Water-Magic</t>
  </si>
  <si>
    <t>Water-Galactic</t>
  </si>
  <si>
    <t>Grass-Electric</t>
  </si>
  <si>
    <t>Grass-Ice</t>
  </si>
  <si>
    <t>Grass-Fighting</t>
  </si>
  <si>
    <t>Grass-Poison</t>
  </si>
  <si>
    <t>Grass-Ground</t>
  </si>
  <si>
    <t>Grass-Flying</t>
  </si>
  <si>
    <t>Grass-Psychic</t>
  </si>
  <si>
    <t>Grass-Bug</t>
  </si>
  <si>
    <t>Grass-Rock</t>
  </si>
  <si>
    <t>Grass-Ghost</t>
  </si>
  <si>
    <t>Grass-Dragon</t>
  </si>
  <si>
    <t>Grass-Dark</t>
  </si>
  <si>
    <t>Grass-Steel</t>
  </si>
  <si>
    <t>Grass-Light</t>
  </si>
  <si>
    <t>Grass-Magic</t>
  </si>
  <si>
    <t>Grass-Galactic</t>
  </si>
  <si>
    <t>Electric-Ice</t>
  </si>
  <si>
    <t>Electric-Fighting</t>
  </si>
  <si>
    <t>Electric-Poison</t>
  </si>
  <si>
    <t>Electric-Ground</t>
  </si>
  <si>
    <t>Electric-Flying</t>
  </si>
  <si>
    <t>Electric-Psychic</t>
  </si>
  <si>
    <t>Electric-Bug</t>
  </si>
  <si>
    <t>Electric-Rock</t>
  </si>
  <si>
    <t>Electric-Ghost</t>
  </si>
  <si>
    <t>Electric-Dragon</t>
  </si>
  <si>
    <t>Electric-Dark</t>
  </si>
  <si>
    <t>Electric-Steel</t>
  </si>
  <si>
    <t>120-122</t>
  </si>
  <si>
    <t>Electric-Light</t>
  </si>
  <si>
    <t>Electric-Magic</t>
  </si>
  <si>
    <t>Electric-Galactic</t>
  </si>
  <si>
    <t>Ice-Fighting</t>
  </si>
  <si>
    <t>Ice-Poison</t>
  </si>
  <si>
    <t>Ice-Ground</t>
  </si>
  <si>
    <t>Ice-Flying</t>
  </si>
  <si>
    <t>Ice-Psychic</t>
  </si>
  <si>
    <t>Ice-Bug</t>
  </si>
  <si>
    <t>Ice-Rock</t>
  </si>
  <si>
    <t>Ice-Ghost</t>
  </si>
  <si>
    <t>Ice-Dragon</t>
  </si>
  <si>
    <t>Ice-Dark</t>
  </si>
  <si>
    <t>Ice-Steel</t>
  </si>
  <si>
    <t>Ice-Light</t>
  </si>
  <si>
    <t>Ice-Magic</t>
  </si>
  <si>
    <t>Ice-Galactic</t>
  </si>
  <si>
    <t>Fighting-Poison</t>
  </si>
  <si>
    <t>Fighting-Ground</t>
  </si>
  <si>
    <t>Fighting-Flying</t>
  </si>
  <si>
    <t>Fighting-Psychic</t>
  </si>
  <si>
    <t>Fighting-Bug</t>
  </si>
  <si>
    <t>Fighting-Rock</t>
  </si>
  <si>
    <t>Fighting-Ghost</t>
  </si>
  <si>
    <t>Fighting-Dragon</t>
  </si>
  <si>
    <t>Fighting-Dark</t>
  </si>
  <si>
    <t>Fighting-Steel</t>
  </si>
  <si>
    <t>Fighting-Light</t>
  </si>
  <si>
    <t>Fighting-Magic</t>
  </si>
  <si>
    <t>Fighting-Galactic</t>
  </si>
  <si>
    <t>Poison-Ground</t>
  </si>
  <si>
    <t>Poison-Flying</t>
  </si>
  <si>
    <t>Zubat Line</t>
  </si>
  <si>
    <t>Poison-Psychic</t>
  </si>
  <si>
    <t>Poison-Bug</t>
  </si>
  <si>
    <t>Poison-Rock</t>
  </si>
  <si>
    <t>Poison-Ghost</t>
  </si>
  <si>
    <t>153-155</t>
  </si>
  <si>
    <t>Poison-Dragon</t>
  </si>
  <si>
    <t>Poison-Dark</t>
  </si>
  <si>
    <t>Poison-Steel</t>
  </si>
  <si>
    <t>Poison-Light</t>
  </si>
  <si>
    <t>Poison-Magic</t>
  </si>
  <si>
    <t>Poison-Galactic</t>
  </si>
  <si>
    <t>Ground-Flying</t>
  </si>
  <si>
    <t>Ground-Psychic</t>
  </si>
  <si>
    <t>Ground-Bug</t>
  </si>
  <si>
    <t>Ground-Rock</t>
  </si>
  <si>
    <t>Ground-Ghost</t>
  </si>
  <si>
    <t>Ground-Dragon</t>
  </si>
  <si>
    <t>Ground-Dark</t>
  </si>
  <si>
    <t>Ground-Steel</t>
  </si>
  <si>
    <t>Ground-Light</t>
  </si>
  <si>
    <t>Ground-Magic</t>
  </si>
  <si>
    <t>Ground-Galactic</t>
  </si>
  <si>
    <t>Flying-Psychic</t>
  </si>
  <si>
    <t>Flying-Bug</t>
  </si>
  <si>
    <t>Flying-Rock</t>
  </si>
  <si>
    <t>Flying-Ghost</t>
  </si>
  <si>
    <t>Flying-Dragon</t>
  </si>
  <si>
    <t>Flying-Dark</t>
  </si>
  <si>
    <t>Flying-Steel</t>
  </si>
  <si>
    <t>Flying-Light</t>
  </si>
  <si>
    <t>Flying-Magic</t>
  </si>
  <si>
    <t>Flying-Galactic</t>
  </si>
  <si>
    <t>Psychic-Bug</t>
  </si>
  <si>
    <t>Psychic-Rock</t>
  </si>
  <si>
    <t>Psychic-Ghost</t>
  </si>
  <si>
    <t>Psychic-Dragon</t>
  </si>
  <si>
    <t>Psychic-Dark</t>
  </si>
  <si>
    <t>Psychic-Steel</t>
  </si>
  <si>
    <t>Psychic-Light</t>
  </si>
  <si>
    <t>Psychic-Magic</t>
  </si>
  <si>
    <t>Psychic-Galactic</t>
  </si>
  <si>
    <t>Bug-Rock</t>
  </si>
  <si>
    <t>Bug-Ghost</t>
  </si>
  <si>
    <t>Bug-Dragon</t>
  </si>
  <si>
    <t>Bug-Dark</t>
  </si>
  <si>
    <t>Bug-Steel</t>
  </si>
  <si>
    <t>Bug-Light</t>
  </si>
  <si>
    <t>Bug-Magic</t>
  </si>
  <si>
    <t>Bug-Galactic</t>
  </si>
  <si>
    <t>Rock-Ghost</t>
  </si>
  <si>
    <t>Rock-Dragon</t>
  </si>
  <si>
    <t>Rock-Dark</t>
  </si>
  <si>
    <t>Rock-Steel</t>
  </si>
  <si>
    <t>Rock-Light</t>
  </si>
  <si>
    <t>Rock-Magic</t>
  </si>
  <si>
    <t>Rock-Galactic</t>
  </si>
  <si>
    <t>Ghost-Dragon</t>
  </si>
  <si>
    <t>Ghost-Dark</t>
  </si>
  <si>
    <t>Ghost-Steel</t>
  </si>
  <si>
    <t>Ghost-Light</t>
  </si>
  <si>
    <t>Ghost-Magic</t>
  </si>
  <si>
    <t>Ghost-Galactic</t>
  </si>
  <si>
    <t>Dragon-Dark</t>
  </si>
  <si>
    <t>Dragon-Steel</t>
  </si>
  <si>
    <t>Dragon-Light</t>
  </si>
  <si>
    <t>Dragon-Magic</t>
  </si>
  <si>
    <t>Dragon-Galactic</t>
  </si>
  <si>
    <t>Dark-Steel</t>
  </si>
  <si>
    <t>Dark-Light</t>
  </si>
  <si>
    <t>Dark-Magic</t>
  </si>
  <si>
    <t>Dark-Galactic</t>
  </si>
  <si>
    <t>Steel-Light</t>
  </si>
  <si>
    <t>Steel-Magic</t>
  </si>
  <si>
    <t>Steel-Galactic</t>
  </si>
  <si>
    <t>Light-Magic</t>
  </si>
  <si>
    <t>Light-Galactic</t>
  </si>
  <si>
    <t>Magic-Galactic</t>
  </si>
  <si>
    <t>Twigle</t>
  </si>
  <si>
    <t>Torgged</t>
  </si>
  <si>
    <t>Tortugis</t>
  </si>
  <si>
    <t>Lagma</t>
  </si>
  <si>
    <t>Maguide</t>
  </si>
  <si>
    <t>Magron</t>
  </si>
  <si>
    <t>Lizish</t>
  </si>
  <si>
    <t>Iguaton</t>
  </si>
  <si>
    <t>Dragave</t>
  </si>
  <si>
    <t>Hummingspark</t>
  </si>
  <si>
    <t>Flashclaw</t>
  </si>
  <si>
    <t>Magestiflash</t>
  </si>
  <si>
    <t>Pigo</t>
  </si>
  <si>
    <t>Pigonat</t>
  </si>
  <si>
    <t>Pigoga</t>
  </si>
  <si>
    <t>Hamthorno</t>
  </si>
  <si>
    <t>Sheabear</t>
  </si>
  <si>
    <t>Dualbear</t>
  </si>
  <si>
    <t>Spacebear</t>
  </si>
  <si>
    <t>Bealtle</t>
  </si>
  <si>
    <t>Centatle</t>
  </si>
  <si>
    <t>Curlatoral</t>
  </si>
  <si>
    <t>Millistone</t>
  </si>
  <si>
    <t>Winagrow</t>
  </si>
  <si>
    <t>Budew</t>
  </si>
  <si>
    <t>Roselia</t>
  </si>
  <si>
    <t>Roserade</t>
  </si>
  <si>
    <t>Sewaddle</t>
  </si>
  <si>
    <t>Swadloon</t>
  </si>
  <si>
    <t>Leavanny</t>
  </si>
  <si>
    <t>Grubbin</t>
  </si>
  <si>
    <t>Charjabug</t>
  </si>
  <si>
    <t>Vikavolt</t>
  </si>
  <si>
    <t>Busheep</t>
  </si>
  <si>
    <t>Ramant</t>
  </si>
  <si>
    <t>Bushewe</t>
  </si>
  <si>
    <t>44-46</t>
  </si>
  <si>
    <t>Bluebunn</t>
  </si>
  <si>
    <t>Crystallor</t>
  </si>
  <si>
    <t>Carinx</t>
  </si>
  <si>
    <t>Carinator</t>
  </si>
  <si>
    <t>Cairnasaur</t>
  </si>
  <si>
    <t>Pebblepup</t>
  </si>
  <si>
    <t>Boulderoar</t>
  </si>
  <si>
    <t>Fightorex</t>
  </si>
  <si>
    <t>Raptorex</t>
  </si>
  <si>
    <t>Kleinowl</t>
  </si>
  <si>
    <t>Hootowl</t>
  </si>
  <si>
    <t>Dualmoose</t>
  </si>
  <si>
    <t>Snom</t>
  </si>
  <si>
    <t>Frosmoth</t>
  </si>
  <si>
    <t>Grondor</t>
  </si>
  <si>
    <t>Bipedice</t>
  </si>
  <si>
    <t>Tricerpup</t>
  </si>
  <si>
    <t>Tricercil</t>
  </si>
  <si>
    <t>Spheal</t>
  </si>
  <si>
    <t>Sealeo</t>
  </si>
  <si>
    <t>Walrein</t>
  </si>
  <si>
    <t>Froshrog</t>
  </si>
  <si>
    <t>Bouncerog</t>
  </si>
  <si>
    <t>Bugop</t>
  </si>
  <si>
    <t>Opwing</t>
  </si>
  <si>
    <t>Hatenna</t>
  </si>
  <si>
    <t>Hattrem</t>
  </si>
  <si>
    <t>Hatterene</t>
  </si>
  <si>
    <t>Otterpor</t>
  </si>
  <si>
    <t>Psylotter</t>
  </si>
  <si>
    <t>Florline</t>
  </si>
  <si>
    <t>Florlion</t>
  </si>
  <si>
    <t>Psycorb</t>
  </si>
  <si>
    <t>Psyballs</t>
  </si>
  <si>
    <t>Psycorbrator</t>
  </si>
  <si>
    <t>Ralts</t>
  </si>
  <si>
    <t>Kirlia</t>
  </si>
  <si>
    <t>Gardevoir</t>
  </si>
  <si>
    <t>Gallade</t>
  </si>
  <si>
    <t>Tigrette</t>
  </si>
  <si>
    <t>Inkay</t>
  </si>
  <si>
    <t>Malamar</t>
  </si>
  <si>
    <t>Flameruff</t>
  </si>
  <si>
    <t>Barkflare</t>
  </si>
  <si>
    <t>Iglite</t>
  </si>
  <si>
    <t>Blaxer</t>
  </si>
  <si>
    <t>Pyrator</t>
  </si>
  <si>
    <t>Magmaclang</t>
  </si>
  <si>
    <t>Flamehox</t>
  </si>
  <si>
    <t>Tiowoo</t>
  </si>
  <si>
    <t>Magwoo</t>
  </si>
  <si>
    <t>Lafloo</t>
  </si>
  <si>
    <t>Houndour</t>
  </si>
  <si>
    <t>Houndoom</t>
  </si>
  <si>
    <t>Sparkitten</t>
  </si>
  <si>
    <t>Fireblion</t>
  </si>
  <si>
    <t>Flamebless</t>
  </si>
  <si>
    <t>Megawatt</t>
  </si>
  <si>
    <t>Elelamb</t>
  </si>
  <si>
    <t>Electroram</t>
  </si>
  <si>
    <t>Superchargo</t>
  </si>
  <si>
    <t>Twigzap</t>
  </si>
  <si>
    <t>Shockbranch</t>
  </si>
  <si>
    <t>Thunderzap</t>
  </si>
  <si>
    <t>Vupp</t>
  </si>
  <si>
    <t>Whiskie</t>
  </si>
  <si>
    <t>Whiskers</t>
  </si>
  <si>
    <t>Whiskeroar</t>
  </si>
  <si>
    <t>Sheltor</t>
  </si>
  <si>
    <t>Shelnado</t>
  </si>
  <si>
    <t>Lilyray</t>
  </si>
  <si>
    <t>Magikarp</t>
  </si>
  <si>
    <t>Gyarados</t>
  </si>
  <si>
    <t>Staryu</t>
  </si>
  <si>
    <t>Starmie</t>
  </si>
  <si>
    <t>Batorali</t>
  </si>
  <si>
    <t>Posho</t>
  </si>
  <si>
    <t>Poshorump</t>
  </si>
  <si>
    <t>Binacle</t>
  </si>
  <si>
    <t>Barbaracle</t>
  </si>
  <si>
    <t>Durfish</t>
  </si>
  <si>
    <t>Dompster</t>
  </si>
  <si>
    <t>Kissyfishy</t>
  </si>
  <si>
    <t>Ekans</t>
  </si>
  <si>
    <t>Arbok</t>
  </si>
  <si>
    <t>Zubat</t>
  </si>
  <si>
    <t>Golbat</t>
  </si>
  <si>
    <t>Crobat</t>
  </si>
  <si>
    <t>Zurrclu</t>
  </si>
  <si>
    <t>Timburr</t>
  </si>
  <si>
    <t>Gurdurr</t>
  </si>
  <si>
    <t>Conkeldurr</t>
  </si>
  <si>
    <t>Diggie</t>
  </si>
  <si>
    <t>Drillatron</t>
  </si>
  <si>
    <t>Wormite</t>
  </si>
  <si>
    <t>Wormbot</t>
  </si>
  <si>
    <t>Wormatron</t>
  </si>
  <si>
    <t>Minishoo</t>
  </si>
  <si>
    <t>Glittleshoo</t>
  </si>
  <si>
    <t>Zorua</t>
  </si>
  <si>
    <t>Zoroark</t>
  </si>
  <si>
    <t>Blobmo</t>
  </si>
  <si>
    <t>Nebulimb</t>
  </si>
  <si>
    <t>Consodust</t>
  </si>
  <si>
    <t>Cosmocrash</t>
  </si>
  <si>
    <t>Rockmite</t>
  </si>
  <si>
    <t>Stellarock</t>
  </si>
  <si>
    <t>Poof-E</t>
  </si>
  <si>
    <t>Hast-E</t>
  </si>
  <si>
    <t>Droid-E</t>
  </si>
  <si>
    <t>Armoid-E</t>
  </si>
  <si>
    <t>Soldrota-E</t>
  </si>
  <si>
    <t>Flamehox-E</t>
  </si>
  <si>
    <t>Fireshard-E</t>
  </si>
  <si>
    <t>Blastflames-E</t>
  </si>
  <si>
    <t>Rocky-E</t>
  </si>
  <si>
    <t>Boulder-E</t>
  </si>
  <si>
    <t>Blaster-E</t>
  </si>
  <si>
    <t>Crystallor-E</t>
  </si>
  <si>
    <t>Magikarp-E</t>
  </si>
  <si>
    <t>Gyarados-E</t>
  </si>
  <si>
    <t>Shockfang</t>
  </si>
  <si>
    <t>Electrocobra</t>
  </si>
  <si>
    <t>Nightrex</t>
  </si>
  <si>
    <t>Shadowsaur</t>
  </si>
  <si>
    <t>Durfish-S</t>
  </si>
  <si>
    <t>Dompster-S</t>
  </si>
  <si>
    <t>Wormite-S</t>
  </si>
  <si>
    <t>Wormbot-S</t>
  </si>
  <si>
    <t>Wormatron-S</t>
  </si>
  <si>
    <t>Cluuz-S</t>
  </si>
  <si>
    <t>Zurrclu-S</t>
  </si>
  <si>
    <t>Iglite-S</t>
  </si>
  <si>
    <t>Blaxer-S</t>
  </si>
  <si>
    <t>Pyrator-S</t>
  </si>
  <si>
    <t>Ekans-S</t>
  </si>
  <si>
    <t>Arbok-S</t>
  </si>
  <si>
    <t>Kleinyeti</t>
  </si>
  <si>
    <t>Triwandoliz</t>
  </si>
  <si>
    <t>Relomidel</t>
  </si>
  <si>
    <t>Relopamil</t>
  </si>
  <si>
    <t>Dragowrath</t>
  </si>
  <si>
    <t>Solaroxyous</t>
  </si>
  <si>
    <t>Cleffa</t>
  </si>
  <si>
    <t>Clefairy</t>
  </si>
  <si>
    <t>Clefable</t>
  </si>
  <si>
    <t>Cleffa Line</t>
  </si>
  <si>
    <t>Kissyfishy-D</t>
  </si>
  <si>
    <t>Lotad</t>
  </si>
  <si>
    <t>Lombre</t>
  </si>
  <si>
    <t>Ludicolo</t>
  </si>
  <si>
    <t>Cinneroph</t>
  </si>
  <si>
    <t>Lotad Line</t>
  </si>
  <si>
    <t>Shedinja</t>
  </si>
  <si>
    <t>Nincada</t>
  </si>
  <si>
    <t>Ninjask</t>
  </si>
  <si>
    <t>Name</t>
  </si>
  <si>
    <t>Total</t>
  </si>
  <si>
    <t>HP</t>
  </si>
  <si>
    <t>Attack</t>
  </si>
  <si>
    <t>Defense</t>
  </si>
  <si>
    <t>Sp.Atk</t>
  </si>
  <si>
    <t>Sp.Def</t>
  </si>
  <si>
    <t>Speed</t>
  </si>
  <si>
    <t>Total2</t>
  </si>
  <si>
    <t>Overgrow</t>
  </si>
  <si>
    <t>Torrent</t>
  </si>
  <si>
    <t>Keen Eye</t>
  </si>
  <si>
    <t>Insect Feeder</t>
  </si>
  <si>
    <t>Mirror Armor</t>
  </si>
  <si>
    <t>Mouthwater</t>
  </si>
  <si>
    <t>Thick Fat</t>
  </si>
  <si>
    <t>Rough Skin</t>
  </si>
  <si>
    <t>Adaptability</t>
  </si>
  <si>
    <t>Swarm</t>
  </si>
  <si>
    <t>Anger Point</t>
  </si>
  <si>
    <t>Natural Cure</t>
  </si>
  <si>
    <t>Poison Point</t>
  </si>
  <si>
    <t>Technician</t>
  </si>
  <si>
    <t>Chlorophyl</t>
  </si>
  <si>
    <t>Static</t>
  </si>
  <si>
    <t>Levitate</t>
  </si>
  <si>
    <t>Moxie</t>
  </si>
  <si>
    <t>Competitive</t>
  </si>
  <si>
    <t>Magic Guard</t>
  </si>
  <si>
    <t>Serene Grace</t>
  </si>
  <si>
    <t>Hyper Cutter</t>
  </si>
  <si>
    <t>Speed Boost</t>
  </si>
  <si>
    <t>Swift Swim</t>
  </si>
  <si>
    <t>Rain Dish</t>
  </si>
  <si>
    <t>Sturdy</t>
  </si>
  <si>
    <t>Filter</t>
  </si>
  <si>
    <t>Psychic Surge</t>
  </si>
  <si>
    <t>Synchronize</t>
  </si>
  <si>
    <t>Shed Skin</t>
  </si>
  <si>
    <t>Intimidate</t>
  </si>
  <si>
    <t>Guts</t>
  </si>
  <si>
    <t>No Guard</t>
  </si>
  <si>
    <t>Snow Cloak</t>
  </si>
  <si>
    <t>Sparkly Surge</t>
  </si>
  <si>
    <t>Icy Scales</t>
  </si>
  <si>
    <t>Rock Head</t>
  </si>
  <si>
    <t>Sand Force</t>
  </si>
  <si>
    <t>Ice Body</t>
  </si>
  <si>
    <t>Slush Rush</t>
  </si>
  <si>
    <t>Anticipation</t>
  </si>
  <si>
    <t>Water Veil</t>
  </si>
  <si>
    <t>Drizzle</t>
  </si>
  <si>
    <t>Grassy Surge</t>
  </si>
  <si>
    <t>Justified</t>
  </si>
  <si>
    <t>Simple</t>
  </si>
  <si>
    <t>Normalize</t>
  </si>
  <si>
    <t>Contrary</t>
  </si>
  <si>
    <t>Flash Fire</t>
  </si>
  <si>
    <t>Flame Body</t>
  </si>
  <si>
    <t>Steelworker</t>
  </si>
  <si>
    <t>Solid Rock</t>
  </si>
  <si>
    <t>Shield Dust</t>
  </si>
  <si>
    <t>Drought</t>
  </si>
  <si>
    <t>Rattled</t>
  </si>
  <si>
    <t>Electric Surge</t>
  </si>
  <si>
    <t>Huge Power</t>
  </si>
  <si>
    <t>Sap Sipper</t>
  </si>
  <si>
    <t>Volt Absorb</t>
  </si>
  <si>
    <t>Tough Claws</t>
  </si>
  <si>
    <t>Compound Eyes</t>
  </si>
  <si>
    <t>Wonder Guard</t>
  </si>
  <si>
    <t>Water Absorb</t>
  </si>
  <si>
    <t>Unaware</t>
  </si>
  <si>
    <t>Strong Jaw</t>
  </si>
  <si>
    <t>Regenerator</t>
  </si>
  <si>
    <t>Sniper</t>
  </si>
  <si>
    <t>Prankster</t>
  </si>
  <si>
    <t>Inner Focus</t>
  </si>
  <si>
    <t>Friendly Ghost</t>
  </si>
  <si>
    <t>Iron Barbs</t>
  </si>
  <si>
    <t>Sand Stream</t>
  </si>
  <si>
    <t>Sand Veil</t>
  </si>
  <si>
    <t>Multiscale</t>
  </si>
  <si>
    <t>Snow Warning</t>
  </si>
  <si>
    <t>Solar Power</t>
  </si>
  <si>
    <t>Iron Fist</t>
  </si>
  <si>
    <t>Clear Body</t>
  </si>
  <si>
    <t>Motor Drive</t>
  </si>
  <si>
    <t>Lightning Rod</t>
  </si>
  <si>
    <t>Super Luck</t>
  </si>
  <si>
    <t>Type Master</t>
  </si>
  <si>
    <t>Protean</t>
  </si>
  <si>
    <t>Glacier Aura</t>
  </si>
  <si>
    <t>Psychic Aura</t>
  </si>
  <si>
    <t>Galactic Aura</t>
  </si>
  <si>
    <t>Fluffy</t>
  </si>
  <si>
    <t>Insomnia</t>
  </si>
  <si>
    <t>Gravitational Pull</t>
  </si>
  <si>
    <t>Rest</t>
  </si>
  <si>
    <t>Sleep Talk</t>
  </si>
  <si>
    <t>Protect</t>
  </si>
  <si>
    <t>Baton Pass</t>
  </si>
  <si>
    <t>Giga Impact</t>
  </si>
  <si>
    <t>Hyper Beam</t>
  </si>
  <si>
    <t>Weather Ball</t>
  </si>
  <si>
    <t>Terrain Pulse</t>
  </si>
  <si>
    <t>Hidden Power</t>
  </si>
  <si>
    <t>Toxic</t>
  </si>
  <si>
    <t>Thunder Wave</t>
  </si>
  <si>
    <t>Trick Room</t>
  </si>
  <si>
    <t>Sunny Day</t>
  </si>
  <si>
    <t>Rain Dance</t>
  </si>
  <si>
    <t>Sandstorm</t>
  </si>
  <si>
    <t>Grassy Terrain</t>
  </si>
  <si>
    <t>Electric Terrain</t>
  </si>
  <si>
    <t>Psychic Terrain</t>
  </si>
  <si>
    <t>Sparkly Terrain</t>
  </si>
  <si>
    <t>Tri Attack</t>
  </si>
  <si>
    <t>Reflect</t>
  </si>
  <si>
    <t>Light Screen</t>
  </si>
  <si>
    <t>Dazzling Gleam</t>
  </si>
  <si>
    <t>Play Rough</t>
  </si>
  <si>
    <t>U-Turn</t>
  </si>
  <si>
    <t>Brick Break</t>
  </si>
  <si>
    <t>Flip Turn</t>
  </si>
  <si>
    <t>Blizzard</t>
  </si>
  <si>
    <t>Fire Blast</t>
  </si>
  <si>
    <t>Thunder</t>
  </si>
  <si>
    <t>Close Combat</t>
  </si>
  <si>
    <t>Hydro Pump</t>
  </si>
  <si>
    <t>Draco Meteor</t>
  </si>
  <si>
    <t>Outrage</t>
  </si>
  <si>
    <t>Freeze-Dry</t>
  </si>
  <si>
    <t>Psyshock</t>
  </si>
  <si>
    <t>Comet Crash</t>
  </si>
  <si>
    <t>Elemental Sparkle</t>
  </si>
  <si>
    <t>Spirit Break</t>
  </si>
  <si>
    <t>Aerial Ace</t>
  </si>
  <si>
    <t>Super Fang</t>
  </si>
  <si>
    <t>Fell Stinger</t>
  </si>
  <si>
    <t>Solar Beam</t>
  </si>
  <si>
    <t>Energy Ball</t>
  </si>
  <si>
    <t>Volt Switch</t>
  </si>
  <si>
    <t>Will-O-Wisp</t>
  </si>
  <si>
    <t>Throat Chop</t>
  </si>
  <si>
    <t>Dragon Claw</t>
  </si>
  <si>
    <t>Calm Mind</t>
  </si>
  <si>
    <t>Body Slam</t>
  </si>
  <si>
    <t>Bulk Up</t>
  </si>
  <si>
    <t>Leaf Blade</t>
  </si>
  <si>
    <t>Ice Beam</t>
  </si>
  <si>
    <t>Taunt</t>
  </si>
  <si>
    <t>Iron Head</t>
  </si>
  <si>
    <t>Thunderbolt</t>
  </si>
  <si>
    <t>Earthquake</t>
  </si>
  <si>
    <t>Shadow Ball</t>
  </si>
  <si>
    <t>***</t>
  </si>
  <si>
    <t>Flamethrower</t>
  </si>
  <si>
    <t>Sludge Bomb</t>
  </si>
  <si>
    <t>Rock Tomb</t>
  </si>
  <si>
    <t>Facade</t>
  </si>
  <si>
    <t>Focus Blast</t>
  </si>
  <si>
    <t>False Swipe</t>
  </si>
  <si>
    <t>Charge Beam</t>
  </si>
  <si>
    <t>Dragon Pulse</t>
  </si>
  <si>
    <t>Drain Punch</t>
  </si>
  <si>
    <t>Shadow Claw</t>
  </si>
  <si>
    <t>Rock Polish</t>
  </si>
  <si>
    <t>Flash</t>
  </si>
  <si>
    <t>Stone Edge</t>
  </si>
  <si>
    <t>Gyro Ball</t>
  </si>
  <si>
    <t>Swords Dance</t>
  </si>
  <si>
    <t>Captivate</t>
  </si>
  <si>
    <t>Dark Pulse</t>
  </si>
  <si>
    <t>Rock Slide</t>
  </si>
  <si>
    <t>X-Scissor</t>
  </si>
  <si>
    <t>Poison Jab</t>
  </si>
  <si>
    <t>Iron Blast</t>
  </si>
  <si>
    <t>Flame Charge</t>
  </si>
  <si>
    <t>Liquidation</t>
  </si>
  <si>
    <t>Zing Zap</t>
  </si>
  <si>
    <t>Ice Spinner</t>
  </si>
  <si>
    <t>Earth Power</t>
  </si>
  <si>
    <t>Hurricane</t>
  </si>
  <si>
    <t>Smack Down</t>
  </si>
  <si>
    <t>Psychic Fangs</t>
  </si>
  <si>
    <t>Acrobatics</t>
  </si>
  <si>
    <t>Sparkle Strike</t>
  </si>
  <si>
    <t>Magic Blast</t>
  </si>
  <si>
    <t>Magic Tomb</t>
  </si>
  <si>
    <t>Galaxy Blast</t>
  </si>
  <si>
    <t>Star Storm</t>
  </si>
  <si>
    <t>Rock Smash</t>
  </si>
  <si>
    <t>Vine Cross</t>
  </si>
  <si>
    <t>Slow Fall</t>
  </si>
  <si>
    <t>Rock Climb</t>
  </si>
  <si>
    <t>Lava Surf</t>
  </si>
  <si>
    <t>Surf</t>
  </si>
  <si>
    <t>Photon Geyser</t>
  </si>
  <si>
    <t>Scald</t>
  </si>
  <si>
    <t>Competitve</t>
  </si>
  <si>
    <t>32 + Rollout</t>
  </si>
  <si>
    <t>Electric tunnel rock</t>
  </si>
  <si>
    <t>Shadow ravine rock</t>
  </si>
  <si>
    <t>Shiny Stone</t>
  </si>
  <si>
    <t>Leaf stone</t>
  </si>
  <si>
    <t>Ice stone</t>
  </si>
  <si>
    <t>Dawn stone</t>
  </si>
  <si>
    <t>Empty slot in party</t>
  </si>
  <si>
    <t>Dusk stone</t>
  </si>
  <si>
    <t>Mindagan Lake</t>
  </si>
  <si>
    <t>36 + Rock Blast</t>
  </si>
  <si>
    <t>Happiness</t>
  </si>
  <si>
    <t>Valiant Gem</t>
  </si>
  <si>
    <t>Petticoat Gem</t>
  </si>
  <si>
    <t>Return</t>
  </si>
  <si>
    <t>Galactasolder</t>
  </si>
  <si>
    <t>Zurroaratr-S</t>
  </si>
  <si>
    <t>Zurroaratr</t>
  </si>
  <si>
    <t>Scraggy</t>
  </si>
  <si>
    <t>Scrafty</t>
  </si>
  <si>
    <t>Scraftagon</t>
  </si>
  <si>
    <t>Scaly Skin</t>
  </si>
  <si>
    <t>New Minnow</t>
  </si>
  <si>
    <t>Route 22</t>
  </si>
  <si>
    <t>Bananaville</t>
  </si>
  <si>
    <t>Route 23</t>
  </si>
  <si>
    <t>Poppy Grove</t>
  </si>
  <si>
    <t>Route 24 pt 1</t>
  </si>
  <si>
    <t>Route 24 pt 2</t>
  </si>
  <si>
    <t>Gelb Forest</t>
  </si>
  <si>
    <t>Route 25</t>
  </si>
  <si>
    <t>Sicab City</t>
  </si>
  <si>
    <t>Route 26</t>
  </si>
  <si>
    <t>Mt. Splinkty</t>
  </si>
  <si>
    <t>Route 27</t>
  </si>
  <si>
    <t>Kleine Village</t>
  </si>
  <si>
    <t>Route 41</t>
  </si>
  <si>
    <t>Route 28</t>
  </si>
  <si>
    <t>Peaceful Park</t>
  </si>
  <si>
    <t>Route 36</t>
  </si>
  <si>
    <t>Electric Tunnel</t>
  </si>
  <si>
    <t>Route 29</t>
  </si>
  <si>
    <t>Schrice City</t>
  </si>
  <si>
    <t>Route 40</t>
  </si>
  <si>
    <t>Route 30</t>
  </si>
  <si>
    <t>Route 31</t>
  </si>
  <si>
    <t>Shadow Ravine</t>
  </si>
  <si>
    <t>Route 42</t>
  </si>
  <si>
    <t>Route 32</t>
  </si>
  <si>
    <t>Frenco City</t>
  </si>
  <si>
    <t>Route 33</t>
  </si>
  <si>
    <t>Ghostly Woods</t>
  </si>
  <si>
    <t>Route 34</t>
  </si>
  <si>
    <t>Glurg Town</t>
  </si>
  <si>
    <t>Route 35</t>
  </si>
  <si>
    <t>Route 37</t>
  </si>
  <si>
    <t>Rawwar City</t>
  </si>
  <si>
    <t>Route 38</t>
  </si>
  <si>
    <t>Mt. St. Joseph</t>
  </si>
  <si>
    <t>Route 39</t>
  </si>
  <si>
    <t>Iron Town</t>
  </si>
  <si>
    <t>Lava Lake</t>
  </si>
  <si>
    <t>Route 44</t>
  </si>
  <si>
    <t>Deep Chasm</t>
  </si>
  <si>
    <t>A.T. Path</t>
  </si>
  <si>
    <t>Abandoned Tower</t>
  </si>
  <si>
    <t>Route 43</t>
  </si>
  <si>
    <t>Checkpoint Charlie</t>
  </si>
  <si>
    <t>Bug Buzz</t>
  </si>
  <si>
    <t>Snowscape</t>
  </si>
  <si>
    <t>Make ET lower Steel SpD?</t>
  </si>
  <si>
    <t>Starter</t>
  </si>
  <si>
    <t>Yes</t>
  </si>
  <si>
    <t>No</t>
  </si>
  <si>
    <t>Yes*</t>
  </si>
  <si>
    <t>Sharpness</t>
  </si>
  <si>
    <t>Mindagan Cavern</t>
  </si>
  <si>
    <t>???</t>
  </si>
  <si>
    <t>Iron Town Spaceship</t>
  </si>
  <si>
    <t>Whirlpool</t>
  </si>
  <si>
    <t>Shadow Ravine (secret room by -3) or Shadow Path</t>
  </si>
  <si>
    <t>Battle Armor</t>
  </si>
  <si>
    <t>Tinted Lens</t>
  </si>
  <si>
    <t>Volt Vortex</t>
  </si>
  <si>
    <t>Dry Skin</t>
  </si>
  <si>
    <t>Magic Bounce</t>
  </si>
  <si>
    <t>Empathic Link</t>
  </si>
  <si>
    <t>Item</t>
  </si>
  <si>
    <t>Price</t>
  </si>
  <si>
    <t>Ground Loc</t>
  </si>
  <si>
    <t>ID</t>
  </si>
  <si>
    <t>Air Balloon (?)</t>
  </si>
  <si>
    <t>Assault Vest</t>
  </si>
  <si>
    <t>Black Sludge</t>
  </si>
  <si>
    <t>Bright Powder</t>
  </si>
  <si>
    <t>Choice Band</t>
  </si>
  <si>
    <t>Choice Scarf</t>
  </si>
  <si>
    <t>Choice Specs</t>
  </si>
  <si>
    <t>Clear Amulet</t>
  </si>
  <si>
    <t>Covert Cloak</t>
  </si>
  <si>
    <t>Damp Rock</t>
  </si>
  <si>
    <t>Heat Rock</t>
  </si>
  <si>
    <t>Smooth Rock</t>
  </si>
  <si>
    <t>Icy Rock</t>
  </si>
  <si>
    <t>Everstone</t>
  </si>
  <si>
    <t>Eviolite</t>
  </si>
  <si>
    <t>Expert Belt</t>
  </si>
  <si>
    <t>Focus Band (?)</t>
  </si>
  <si>
    <t>Focus Sash</t>
  </si>
  <si>
    <t>Heavy-Duty Boots</t>
  </si>
  <si>
    <t>King's Rock (?)</t>
  </si>
  <si>
    <t>Leftovers</t>
  </si>
  <si>
    <t>Life Orb</t>
  </si>
  <si>
    <t>Light Clay</t>
  </si>
  <si>
    <t>Muscle Band</t>
  </si>
  <si>
    <t>Power Herb</t>
  </si>
  <si>
    <t>Quick Claw</t>
  </si>
  <si>
    <t>Scope Lens</t>
  </si>
  <si>
    <t>Rocky Helmet</t>
  </si>
  <si>
    <t>Soothe Bell (?)</t>
  </si>
  <si>
    <t>Toxic Orb</t>
  </si>
  <si>
    <t>Weakness Policy</t>
  </si>
  <si>
    <t>White Herb</t>
  </si>
  <si>
    <t>Wide Lens</t>
  </si>
  <si>
    <t>Wise Glasses</t>
  </si>
  <si>
    <t>Black Belt</t>
  </si>
  <si>
    <t>Black Glasses</t>
  </si>
  <si>
    <t>Charcoal</t>
  </si>
  <si>
    <t>Dragon Fang</t>
  </si>
  <si>
    <t>Hard Stone</t>
  </si>
  <si>
    <t>Magnet</t>
  </si>
  <si>
    <t>Metal Coat</t>
  </si>
  <si>
    <t>Miracle Seed</t>
  </si>
  <si>
    <t>Mystic Water</t>
  </si>
  <si>
    <t>Never-Melt Ice</t>
  </si>
  <si>
    <t>Poison Barb</t>
  </si>
  <si>
    <t>Sharp Beak</t>
  </si>
  <si>
    <t>Silk Scarf</t>
  </si>
  <si>
    <t>Silver Powder</t>
  </si>
  <si>
    <t>Soft Sand</t>
  </si>
  <si>
    <t>Spell Tag</t>
  </si>
  <si>
    <t>Twisted Spoon</t>
  </si>
  <si>
    <t>Cosmic Core</t>
  </si>
  <si>
    <t>Enchanted Amulet</t>
  </si>
  <si>
    <t>Glowing Prism</t>
  </si>
  <si>
    <t>Cheri</t>
  </si>
  <si>
    <t>Chesto</t>
  </si>
  <si>
    <t>Pecha</t>
  </si>
  <si>
    <t>Rawst</t>
  </si>
  <si>
    <t>Aspear</t>
  </si>
  <si>
    <t>Leppa</t>
  </si>
  <si>
    <t>Oran</t>
  </si>
  <si>
    <t>Persim</t>
  </si>
  <si>
    <t>Lum</t>
  </si>
  <si>
    <t>Sitrus</t>
  </si>
  <si>
    <t>Wiki</t>
  </si>
  <si>
    <t>Occa</t>
  </si>
  <si>
    <t>Passho</t>
  </si>
  <si>
    <t>Wacan</t>
  </si>
  <si>
    <t>Rindo</t>
  </si>
  <si>
    <t>Yache</t>
  </si>
  <si>
    <t>Chople</t>
  </si>
  <si>
    <t>Kebia</t>
  </si>
  <si>
    <t>Shuca</t>
  </si>
  <si>
    <t>Coba</t>
  </si>
  <si>
    <t>Payapa</t>
  </si>
  <si>
    <t>Tanga</t>
  </si>
  <si>
    <t>Charti</t>
  </si>
  <si>
    <t>Kasib</t>
  </si>
  <si>
    <t>Haban</t>
  </si>
  <si>
    <t>Babiri</t>
  </si>
  <si>
    <t>Chilan</t>
  </si>
  <si>
    <t>Roseli</t>
  </si>
  <si>
    <t>Mysticola</t>
  </si>
  <si>
    <t>Galaxeed</t>
  </si>
  <si>
    <t>Liechi</t>
  </si>
  <si>
    <t>Ganlon</t>
  </si>
  <si>
    <t>Salac</t>
  </si>
  <si>
    <t>Petaya</t>
  </si>
  <si>
    <t>Apricot</t>
  </si>
  <si>
    <t>Starf</t>
  </si>
  <si>
    <t>Micle</t>
  </si>
  <si>
    <t>Description</t>
  </si>
  <si>
    <t>An ancient amulet with mystical properties that boosts the power of Magic-type moves.</t>
  </si>
  <si>
    <t>Color</t>
  </si>
  <si>
    <t>A mysterious core from the heart of the cosmos that boosts the power of Galactic-type moves.</t>
  </si>
  <si>
    <t>A radiant prism that boosts the power of Light-type moves.</t>
  </si>
  <si>
    <t>An offensive vest boosts the holder's Sp. Def stat but prevents the use of status moves.</t>
  </si>
  <si>
    <t>A root boosts the amount of HP the holder restores to itself when it uses HP-stealing moves.</t>
  </si>
  <si>
    <t>A belt that helps with focus and boosts the power of the holder's Fighting-type moves.</t>
  </si>
  <si>
    <t>A pair of shady- looking glasses that boost the power of the holder's Dark-type moves.</t>
  </si>
  <si>
    <t>A combustible fuel that boosts the power of the holder's Fire-type moves.</t>
  </si>
  <si>
    <t>A pair of curious glasses that boost the holder's Sp. Atk stat but only allow the use of a single move.</t>
  </si>
  <si>
    <t>A curious scarf that boosts the holder's Speed stat but only allows the use of a single move.</t>
  </si>
  <si>
    <t>A curious headband that boosts the holder's Attack stat but only allows the use of a single move.</t>
  </si>
  <si>
    <t>An item that restores the user's HP gradually throughout a battle.</t>
  </si>
  <si>
    <t>If the holder is a Poison type, this sludge will gradually restore its HP. It damages any other type.</t>
  </si>
  <si>
    <t>A Pokemon holding this peculiar stone is prevented from evolving.</t>
  </si>
  <si>
    <t>A rock that when the holder changes the weather to rain, the rain will persist for longer than usual.</t>
  </si>
  <si>
    <t>A durable stone that boosts the power of the holder's Rock-type moves.</t>
  </si>
  <si>
    <t>A rock that when the holder changes the weather to harsh sunlight, the sunlight will persist for longer than usual.</t>
  </si>
  <si>
    <t>A rock that when the holder changes the weather to snow, the snow will persist for longer than usual.</t>
  </si>
  <si>
    <t>Terrain Extender</t>
  </si>
  <si>
    <t>A held item that extends the duration of terrain caused by the holder's move or Ability.</t>
  </si>
  <si>
    <t>A rock that when the holder changes the weather to a sandstorm, the storm will persist for longer than usual.</t>
  </si>
  <si>
    <t>A glittery powder that casts a tricky glare which lowers the accuracy of opposing Pokemon's moves.</t>
  </si>
  <si>
    <t>A well-worn belt that slightly boosts the power of the holder's supereffective moves.</t>
  </si>
  <si>
    <t>An orb that boosts the power of the holder's moves, but at the cost of some HP.</t>
  </si>
  <si>
    <t>A bizarre orb that gives off heat when touched and will afflict the holder with a burn during battle.</t>
  </si>
  <si>
    <t>A bizarre orb that exudes toxins when touched and will badly poison the holder during battle.</t>
  </si>
  <si>
    <t>If another Pokemon makes direct contact with the holder, that Pokémon will be damaged.</t>
  </si>
  <si>
    <t>A mysterious evolutionary lump that boosts the Defense and Sp. Def stats when held by a Pokemon that can still evolve.</t>
  </si>
  <si>
    <t>An item that when the holder uses protective moves like Light Screen or Reflect, their effects will last longer than usual.</t>
  </si>
  <si>
    <t>The comforting chime of this bell calms the holder, making it friendly.</t>
  </si>
  <si>
    <t>Colbur</t>
  </si>
  <si>
    <t>15-30</t>
  </si>
  <si>
    <t>3-6</t>
  </si>
  <si>
    <t>10-20</t>
  </si>
  <si>
    <t>5-10</t>
  </si>
  <si>
    <t>Route 43 (G)</t>
  </si>
  <si>
    <t>1st Gym (Optional Trainer)</t>
  </si>
  <si>
    <t>3rd</t>
  </si>
  <si>
    <t>4th</t>
  </si>
  <si>
    <t>Flame Orb</t>
  </si>
  <si>
    <t>4th (Electric Tunnel)</t>
  </si>
  <si>
    <t>6th</t>
  </si>
  <si>
    <t>5th/7th</t>
  </si>
  <si>
    <t>Your House</t>
  </si>
  <si>
    <t>Loaded Dice</t>
  </si>
  <si>
    <t>Big Root</t>
  </si>
  <si>
    <t>3rd/4th</t>
  </si>
  <si>
    <t>Throat Spray</t>
  </si>
  <si>
    <t>Red Card</t>
  </si>
  <si>
    <t>Blunder Policy</t>
  </si>
  <si>
    <t>Gives random berry per tree of these, player has array to keep track of what is left</t>
  </si>
  <si>
    <t>5-15</t>
  </si>
  <si>
    <t>Berry Shoppe</t>
  </si>
  <si>
    <t>2-5</t>
  </si>
  <si>
    <t>Late 3rd?</t>
  </si>
  <si>
    <t>Route 36 (Cut)</t>
  </si>
  <si>
    <t>Route 22 Gauntlet</t>
  </si>
  <si>
    <t>Bananville Barn</t>
  </si>
  <si>
    <t>Hidden Power Trainer</t>
  </si>
  <si>
    <t>Route 36 Poppy Grove</t>
  </si>
  <si>
    <t>Poppy Grove Hotel (or holding it)</t>
  </si>
  <si>
    <t>Either gift starter or Scott 2 or Fred 1 gives</t>
  </si>
  <si>
    <t>TN Warehouse</t>
  </si>
  <si>
    <t>Poppy Grove House</t>
  </si>
  <si>
    <t>Bananville House</t>
  </si>
  <si>
    <t>TN Warehouse Optional</t>
  </si>
  <si>
    <t>Route 24 pt. 1</t>
  </si>
  <si>
    <t>Route 24 pt. 1 by Sapwin</t>
  </si>
  <si>
    <t>2nd maybe?</t>
  </si>
  <si>
    <t>Gelb Forest/R25</t>
  </si>
  <si>
    <t>5th (Sicab City Tower Thing)</t>
  </si>
  <si>
    <t>Sicab House</t>
  </si>
  <si>
    <t>Sicab City Cleffa House</t>
  </si>
  <si>
    <t>Power Plant A</t>
  </si>
  <si>
    <t>Return TM</t>
  </si>
  <si>
    <t>Route 22 (Cut Tree Area)</t>
  </si>
  <si>
    <t>Power Plant (Charjabug)</t>
  </si>
  <si>
    <t>New Minnow Town (Cut Tree)</t>
  </si>
  <si>
    <t>Poppy Grove (Cut Tree)</t>
  </si>
  <si>
    <t>Route 24 pt. 1 (Sheabear)</t>
  </si>
  <si>
    <t>Route 26 (Houndoom)</t>
  </si>
  <si>
    <t>Route 26 (Lilyray)</t>
  </si>
  <si>
    <t>Route 26 (After Cut Trees)</t>
  </si>
  <si>
    <t>3rd (Sicab City Cleffa)</t>
  </si>
  <si>
    <t>Sicab City by Power Plant B</t>
  </si>
  <si>
    <t>3rd?</t>
  </si>
  <si>
    <t>Route 43 (Cut)</t>
  </si>
  <si>
    <t>Optional in Splinkty</t>
  </si>
  <si>
    <t>Sicab City Office</t>
  </si>
  <si>
    <t>Route 36 (RS)</t>
  </si>
  <si>
    <t>Shed Shell</t>
  </si>
  <si>
    <t>Route 30 (Pre-Surf)</t>
  </si>
  <si>
    <t>Custap</t>
  </si>
  <si>
    <t>R43</t>
  </si>
  <si>
    <t>Schrice City House</t>
  </si>
  <si>
    <t>Icy Fields</t>
  </si>
  <si>
    <t>School</t>
  </si>
  <si>
    <t>Geology Shop</t>
  </si>
  <si>
    <t>7th buy</t>
  </si>
  <si>
    <t>5th</t>
  </si>
  <si>
    <t>Sicab City Boat Landing</t>
  </si>
  <si>
    <t>Blombo</t>
  </si>
  <si>
    <t>Suvinero</t>
  </si>
  <si>
    <t>Zurroaratr*</t>
  </si>
  <si>
    <t>Posion</t>
  </si>
  <si>
    <t>Type</t>
  </si>
  <si>
    <t>Atk</t>
  </si>
  <si>
    <t>Def</t>
  </si>
  <si>
    <t>SpA</t>
  </si>
  <si>
    <t>SpD</t>
  </si>
  <si>
    <t>Spe</t>
  </si>
  <si>
    <t>TOTAL</t>
  </si>
  <si>
    <t>Amt</t>
  </si>
  <si>
    <t>+ means gym leader uses</t>
  </si>
  <si>
    <t>* means pre-evo is of type</t>
  </si>
  <si>
    <t>Crobat+</t>
  </si>
  <si>
    <t>Species</t>
  </si>
  <si>
    <t>Amount</t>
  </si>
  <si>
    <t>Average</t>
  </si>
  <si>
    <t>Psycorboratr</t>
  </si>
  <si>
    <t>Num</t>
  </si>
  <si>
    <t>Mt. St. Joseph Peak</t>
  </si>
  <si>
    <t>Pokemon</t>
  </si>
  <si>
    <t>%</t>
  </si>
  <si>
    <t>Regenerator?</t>
  </si>
  <si>
    <t>Radiant</t>
  </si>
  <si>
    <t>Corrosion?</t>
  </si>
  <si>
    <t>Trace</t>
  </si>
  <si>
    <t>Brainwash</t>
  </si>
  <si>
    <t>Illumination</t>
  </si>
  <si>
    <t>Pressure</t>
  </si>
  <si>
    <t>Reckless</t>
  </si>
  <si>
    <t>Poison Heal</t>
  </si>
  <si>
    <t>1. Glimmora</t>
  </si>
  <si>
    <t>2. Roserade</t>
  </si>
  <si>
    <t>4. Arbok</t>
  </si>
  <si>
    <t>2. Megawatt</t>
  </si>
  <si>
    <t>3. Hast</t>
  </si>
  <si>
    <t>6. Soldrota-E</t>
  </si>
  <si>
    <t>7. Conkeldurr</t>
  </si>
  <si>
    <t>8. Scraftagon</t>
  </si>
  <si>
    <t>Dragave: Spikes/Wave Crash/Summit Strike</t>
  </si>
  <si>
    <t>Roserade: Spikes/Venom Drench/Leech Seed/Toxic/Protect/Magical Leaf/Leaf Storm/Sludge Bomb/Sleep Powder/Synthesis</t>
  </si>
  <si>
    <t>Arbok: Coil/Sucker Punch/Gunk Shot/Magic Fang/Thunder Fang</t>
  </si>
  <si>
    <t>Zurroaratr-S: Nasty Plot/Venom Drench/Dark Pulse/Giga Drain/Silver Wind/Star Storm</t>
  </si>
  <si>
    <t>Defiant/Swift Swim</t>
  </si>
  <si>
    <t>Corrosion</t>
  </si>
  <si>
    <t>Prankster?</t>
  </si>
  <si>
    <t>Mold Breaker</t>
  </si>
  <si>
    <t>Full Force(Unburden for Attack)</t>
  </si>
  <si>
    <t>Glimmet</t>
  </si>
  <si>
    <t>Glimmora</t>
  </si>
  <si>
    <t>Scrappy</t>
  </si>
  <si>
    <t>Unburden</t>
  </si>
  <si>
    <t>Abra</t>
  </si>
  <si>
    <t>Kadabra</t>
  </si>
  <si>
    <t>Alakazam</t>
  </si>
  <si>
    <t>Flamigo</t>
  </si>
  <si>
    <t>Sneasel</t>
  </si>
  <si>
    <t>Sneasler</t>
  </si>
  <si>
    <t>Weavile</t>
  </si>
  <si>
    <t>Sneasel-H</t>
  </si>
  <si>
    <t>Solosis</t>
  </si>
  <si>
    <t>Duosion</t>
  </si>
  <si>
    <t>Reuniclus</t>
  </si>
  <si>
    <t>Solosis-X</t>
  </si>
  <si>
    <t>Duosion-X</t>
  </si>
  <si>
    <t>Reuniclus-X</t>
  </si>
  <si>
    <t>Seviper</t>
  </si>
  <si>
    <t>Hissimitar</t>
  </si>
  <si>
    <t>Gulpin</t>
  </si>
  <si>
    <t>Swalot</t>
  </si>
  <si>
    <t>Gulpin-X</t>
  </si>
  <si>
    <t>Swalot-X</t>
  </si>
  <si>
    <t>Plasamp</t>
  </si>
  <si>
    <t>Hydration</t>
  </si>
  <si>
    <t>Magma Armor</t>
  </si>
  <si>
    <t>Pixilate</t>
  </si>
  <si>
    <t>Terrify</t>
  </si>
  <si>
    <t>Unwavering</t>
  </si>
  <si>
    <t>Threatening</t>
  </si>
  <si>
    <t>Ambush</t>
  </si>
  <si>
    <t>Beheeyem</t>
  </si>
  <si>
    <t>Elgyem</t>
  </si>
  <si>
    <t>Elgyem-E</t>
  </si>
  <si>
    <t>Beheeyem-E</t>
  </si>
  <si>
    <t>Genieova</t>
  </si>
  <si>
    <t>Caterpie</t>
  </si>
  <si>
    <t>Metapod</t>
  </si>
  <si>
    <t>Butterfree</t>
  </si>
  <si>
    <t>Metapod-X</t>
  </si>
  <si>
    <t>Butterfree-X</t>
  </si>
  <si>
    <t>Bronzor</t>
  </si>
  <si>
    <t>Bronzong</t>
  </si>
  <si>
    <t>Bronzor-X</t>
  </si>
  <si>
    <t>Bronzong-X</t>
  </si>
  <si>
    <t>Arthra uses</t>
  </si>
  <si>
    <t>Xurkitree-UP</t>
  </si>
  <si>
    <t>Cairnasaur-UP</t>
  </si>
  <si>
    <t>Shookwat-UP</t>
  </si>
  <si>
    <t>Splame-UP</t>
  </si>
  <si>
    <t>Buzzwole-UP</t>
  </si>
  <si>
    <t>Pheromosa-UP</t>
  </si>
  <si>
    <t>Necrozma</t>
  </si>
  <si>
    <t>Necrozma-Ult</t>
  </si>
  <si>
    <t>Capsakid</t>
  </si>
  <si>
    <t>Scovillain</t>
  </si>
  <si>
    <t>Capsakid-S</t>
  </si>
  <si>
    <t>Scovillain-S</t>
  </si>
  <si>
    <t>Spice War/Flash Fire/Moody</t>
  </si>
  <si>
    <t>Moody</t>
  </si>
  <si>
    <t>Give it Sambal Sear (Grass type Scald), Dragon Pulse, Dark Pulse, Tri Attack, EP</t>
  </si>
  <si>
    <t>Flash Fire*</t>
  </si>
  <si>
    <t>*If I give regular Scovillain Flash Fire</t>
  </si>
  <si>
    <t>Parasocial</t>
  </si>
  <si>
    <t>Analytic</t>
  </si>
  <si>
    <t>Bichirville</t>
  </si>
  <si>
    <t>Flowerhorn Grove</t>
  </si>
  <si>
    <t>Skipjack City</t>
  </si>
  <si>
    <t>Sheephead Village</t>
  </si>
  <si>
    <t>Arowana City</t>
  </si>
  <si>
    <t>Pkdx #</t>
  </si>
  <si>
    <t>Route 45</t>
  </si>
  <si>
    <t>Azurill</t>
  </si>
  <si>
    <t>Marill</t>
  </si>
  <si>
    <t>Azumarill</t>
  </si>
  <si>
    <t>Pickpocket</t>
  </si>
  <si>
    <t>Poison Touch</t>
  </si>
  <si>
    <t>Shroodle</t>
  </si>
  <si>
    <t>Grafaiai</t>
  </si>
  <si>
    <t>Despenero</t>
  </si>
  <si>
    <t>Despenero-S</t>
  </si>
  <si>
    <t>Cage Critter</t>
  </si>
  <si>
    <t>Icy Serpent</t>
  </si>
  <si>
    <t>Shocky Spire</t>
  </si>
  <si>
    <t>Dust Sorcerer</t>
  </si>
  <si>
    <t>Fever Dream</t>
  </si>
  <si>
    <t>Dusk Skater</t>
  </si>
  <si>
    <t>Ability Capsule</t>
  </si>
  <si>
    <t>Adamant Mint</t>
  </si>
  <si>
    <t>Air Balloon</t>
  </si>
  <si>
    <t>Antidote</t>
  </si>
  <si>
    <t>Apicot Berry</t>
  </si>
  <si>
    <t>Aspear Berry</t>
  </si>
  <si>
    <t>Awakening</t>
  </si>
  <si>
    <t>Belue Berry</t>
  </si>
  <si>
    <t>Bluk Berry</t>
  </si>
  <si>
    <t>Bold Mint</t>
  </si>
  <si>
    <t>Bottle Cap</t>
  </si>
  <si>
    <t>Brave Mint</t>
  </si>
  <si>
    <t>Burn Heal</t>
  </si>
  <si>
    <t>Calm Mint</t>
  </si>
  <si>
    <t>Careful Mint</t>
  </si>
  <si>
    <t>Cheri Berry</t>
  </si>
  <si>
    <t>Chesto Berry</t>
  </si>
  <si>
    <t>Dawn Stone</t>
  </si>
  <si>
    <t>Durin Berry</t>
  </si>
  <si>
    <t>Dusk Scales Fossil</t>
  </si>
  <si>
    <t>Dusk Stone</t>
  </si>
  <si>
    <t>Elixir</t>
  </si>
  <si>
    <t>Euphorian Gem</t>
  </si>
  <si>
    <t>Fire Stone</t>
  </si>
  <si>
    <t>Focus Band</t>
  </si>
  <si>
    <t>Freeze Heal</t>
  </si>
  <si>
    <t>Full Heal</t>
  </si>
  <si>
    <t>Full Restore</t>
  </si>
  <si>
    <t>Ganlon Berry</t>
  </si>
  <si>
    <t>Gold Bottle Cap</t>
  </si>
  <si>
    <t>Great Ball</t>
  </si>
  <si>
    <t>HM06 Whirlpool</t>
  </si>
  <si>
    <t>Hyper Potion</t>
  </si>
  <si>
    <t>Ice Stone</t>
  </si>
  <si>
    <t>Impish Mint</t>
  </si>
  <si>
    <t>Jolly Mint</t>
  </si>
  <si>
    <t>King's Rock</t>
  </si>
  <si>
    <t>Leaf Stone</t>
  </si>
  <si>
    <t>Leppa Berry</t>
  </si>
  <si>
    <t>Liechi Berry</t>
  </si>
  <si>
    <t>Lum Berry</t>
  </si>
  <si>
    <t>Max Elixir</t>
  </si>
  <si>
    <t>Max Potion</t>
  </si>
  <si>
    <t>Max Revive</t>
  </si>
  <si>
    <t>Mental Herb</t>
  </si>
  <si>
    <t>Micle Berry</t>
  </si>
  <si>
    <t>Modest Mint</t>
  </si>
  <si>
    <t>Oran Berry</t>
  </si>
  <si>
    <t>Pamtre Berry</t>
  </si>
  <si>
    <t>Paralyze Heal</t>
  </si>
  <si>
    <t>Pecha Berry</t>
  </si>
  <si>
    <t>Persim Berry</t>
  </si>
  <si>
    <t>Petaya Berry</t>
  </si>
  <si>
    <t>Pokeball</t>
  </si>
  <si>
    <t>Potion</t>
  </si>
  <si>
    <t>PP Max</t>
  </si>
  <si>
    <t>PP Up</t>
  </si>
  <si>
    <t>Quiet Mint</t>
  </si>
  <si>
    <t>Rare Candy</t>
  </si>
  <si>
    <t>Rawst Berry</t>
  </si>
  <si>
    <t>Repel</t>
  </si>
  <si>
    <t>Revive</t>
  </si>
  <si>
    <t>Serious Mint</t>
  </si>
  <si>
    <t>Sitrus Berry</t>
  </si>
  <si>
    <t>Spelon Berry</t>
  </si>
  <si>
    <t>Starf Berry</t>
  </si>
  <si>
    <t>Super Potion</t>
  </si>
  <si>
    <t>Thunder Scales Fossil</t>
  </si>
  <si>
    <t>Timid Mint</t>
  </si>
  <si>
    <t>TM04 Calm Mind</t>
  </si>
  <si>
    <t>TM05 Body Slam</t>
  </si>
  <si>
    <t>TM06 Shadow Ball</t>
  </si>
  <si>
    <t>TM07 Focus Blast</t>
  </si>
  <si>
    <t>TM08 Bulk Up</t>
  </si>
  <si>
    <t>TM09 Leaf Blade</t>
  </si>
  <si>
    <t>TM14 Taunt</t>
  </si>
  <si>
    <t>TM17 Solar Beam</t>
  </si>
  <si>
    <t>TM19 Photon Geyser</t>
  </si>
  <si>
    <t>TM20 Earthquake</t>
  </si>
  <si>
    <t>TM25 Thunderbolt</t>
  </si>
  <si>
    <t>TM26 Hidden Power</t>
  </si>
  <si>
    <t>TM27 Drain Punch</t>
  </si>
  <si>
    <t>TM28 Flame Charge</t>
  </si>
  <si>
    <t>TM29 Liquidation</t>
  </si>
  <si>
    <t>TM30 U-Turn</t>
  </si>
  <si>
    <t>TM31 False Swipe</t>
  </si>
  <si>
    <t>TM32 Zing Zap</t>
  </si>
  <si>
    <t>TM33 Psychic Fangs</t>
  </si>
  <si>
    <t>TM34 Magic Tomb</t>
  </si>
  <si>
    <t>TM35 Flamethrower</t>
  </si>
  <si>
    <t>TM36 Sludge Bomb</t>
  </si>
  <si>
    <t>TM37 Rock Tomb</t>
  </si>
  <si>
    <t>TM40 Facade</t>
  </si>
  <si>
    <t>TM47 Star Storm</t>
  </si>
  <si>
    <t>TM48 Scald</t>
  </si>
  <si>
    <t>TM53 Volt Switch</t>
  </si>
  <si>
    <t>TM58 Dragon Pulse</t>
  </si>
  <si>
    <t>TM62 Bug Buzz</t>
  </si>
  <si>
    <t>TM65 Shadow Claw</t>
  </si>
  <si>
    <t>TM69 Rock Polish</t>
  </si>
  <si>
    <t>TM71 Stone Edge</t>
  </si>
  <si>
    <t>TM72 Ice Spinner</t>
  </si>
  <si>
    <t>TM73 Gyro Ball</t>
  </si>
  <si>
    <t>TM78 Swords Dance</t>
  </si>
  <si>
    <t>TM83 Captivate</t>
  </si>
  <si>
    <t>TM84 Dark Pulse</t>
  </si>
  <si>
    <t>TM86 X-Scissor</t>
  </si>
  <si>
    <t>TM87 Poison Jab</t>
  </si>
  <si>
    <t>TM89 Acrobatics</t>
  </si>
  <si>
    <t>TM90 Iron Blast</t>
  </si>
  <si>
    <t>TM93 Earth Power</t>
  </si>
  <si>
    <t>TM98 Flip Turn</t>
  </si>
  <si>
    <t>TM99 Return</t>
  </si>
  <si>
    <t>Ultra Ball</t>
  </si>
  <si>
    <t>Watmel Berry</t>
  </si>
  <si>
    <t>Wepear Berry</t>
  </si>
  <si>
    <t>Wiki Berry</t>
  </si>
  <si>
    <t>Chests</t>
  </si>
  <si>
    <t>Badges</t>
  </si>
  <si>
    <t>Sicab River</t>
  </si>
  <si>
    <t>Splinkty 2A</t>
  </si>
  <si>
    <t>Splinkty 1A</t>
  </si>
  <si>
    <t>Gelb Forest 2A</t>
  </si>
  <si>
    <t>Splinkty 1B</t>
  </si>
  <si>
    <t>Icy Path</t>
  </si>
  <si>
    <t>Gelb Cavern</t>
  </si>
  <si>
    <t>Maze</t>
  </si>
  <si>
    <t>Babiri Berry</t>
  </si>
  <si>
    <t>Big Mushroom</t>
  </si>
  <si>
    <t>Big Nugget</t>
  </si>
  <si>
    <t>Chilan Berry</t>
  </si>
  <si>
    <t>Chople Berry</t>
  </si>
  <si>
    <t>Coba Berry</t>
  </si>
  <si>
    <t>Colbur Berry</t>
  </si>
  <si>
    <t>Float Stone</t>
  </si>
  <si>
    <t>Galaxeed Berry</t>
  </si>
  <si>
    <t>Gentle Mint</t>
  </si>
  <si>
    <t>Haban Berry</t>
  </si>
  <si>
    <t>Hasty Mint</t>
  </si>
  <si>
    <t>Iron Ball</t>
  </si>
  <si>
    <t>Kasib Berry</t>
  </si>
  <si>
    <t>Lax Mint</t>
  </si>
  <si>
    <t>Lonely Mint</t>
  </si>
  <si>
    <t>Mysticola Berry</t>
  </si>
  <si>
    <t>Naive Mint</t>
  </si>
  <si>
    <t>Naughty Mint</t>
  </si>
  <si>
    <t>Payapa Berry</t>
  </si>
  <si>
    <t>Rash Mint</t>
  </si>
  <si>
    <t>Razor Claw</t>
  </si>
  <si>
    <t>Rindo Berry</t>
  </si>
  <si>
    <t>Roseli Berry</t>
  </si>
  <si>
    <t>Rusty Bottle Cap</t>
  </si>
  <si>
    <t>Safety Goggles</t>
  </si>
  <si>
    <t>Sassy Mint</t>
  </si>
  <si>
    <t>Shuca Berry</t>
  </si>
  <si>
    <t>Star Piece</t>
  </si>
  <si>
    <t>Tanga Berry</t>
  </si>
  <si>
    <t>Tiny Mushroom</t>
  </si>
  <si>
    <t>Wacan Berry</t>
  </si>
  <si>
    <t>Water Stone</t>
  </si>
  <si>
    <t>Yache Berry</t>
  </si>
  <si>
    <t>Ability Patch</t>
  </si>
  <si>
    <t>Bug Crystal</t>
  </si>
  <si>
    <t>Calculator</t>
  </si>
  <si>
    <t>Charti Berry</t>
  </si>
  <si>
    <t>Custap Berry</t>
  </si>
  <si>
    <t>Dark Crystal</t>
  </si>
  <si>
    <t>Dex Nav</t>
  </si>
  <si>
    <t>Dragon Crystal</t>
  </si>
  <si>
    <t>Edge Kit</t>
  </si>
  <si>
    <t>Electric Crystal</t>
  </si>
  <si>
    <t>Exp Share</t>
  </si>
  <si>
    <t>Fighting Crystal</t>
  </si>
  <si>
    <t>Fire Crystal</t>
  </si>
  <si>
    <t>Fishing Rod</t>
  </si>
  <si>
    <t>Flying Crystal</t>
  </si>
  <si>
    <t>Galactic Crystal</t>
  </si>
  <si>
    <t>Ghost Crystal</t>
  </si>
  <si>
    <t>Grass Crystal</t>
  </si>
  <si>
    <t>Ground Crystal</t>
  </si>
  <si>
    <t>Ground Key</t>
  </si>
  <si>
    <t>HM01 Cut</t>
  </si>
  <si>
    <t>HM02 Rock Smash</t>
  </si>
  <si>
    <t>HM03 Vine Cross</t>
  </si>
  <si>
    <t>HM04 Surf</t>
  </si>
  <si>
    <t>HM05 Slow Fall</t>
  </si>
  <si>
    <t>HM07 Rock Climb</t>
  </si>
  <si>
    <t>HM08 Lava Surf</t>
  </si>
  <si>
    <t>Ice Crystal</t>
  </si>
  <si>
    <t>Ice Key</t>
  </si>
  <si>
    <t>Ice Pick</t>
  </si>
  <si>
    <t>Kebia Berry</t>
  </si>
  <si>
    <t>Kleine Bar</t>
  </si>
  <si>
    <t>Lagging Tail</t>
  </si>
  <si>
    <t>Letter</t>
  </si>
  <si>
    <t>Light Crystal</t>
  </si>
  <si>
    <t>Lucky Egg</t>
  </si>
  <si>
    <t>Magic Crystal</t>
  </si>
  <si>
    <t>Mild Mint</t>
  </si>
  <si>
    <t>Nugget</t>
  </si>
  <si>
    <t>Occa Berry</t>
  </si>
  <si>
    <t>Package A</t>
  </si>
  <si>
    <t>Package B</t>
  </si>
  <si>
    <t>Package C</t>
  </si>
  <si>
    <t>Package D</t>
  </si>
  <si>
    <t>Passho Berry</t>
  </si>
  <si>
    <t>Poison Crystal</t>
  </si>
  <si>
    <t>Psychic Crystal</t>
  </si>
  <si>
    <t>Relaxed Mint</t>
  </si>
  <si>
    <t>Relic Gold</t>
  </si>
  <si>
    <t>Relic Silver</t>
  </si>
  <si>
    <t>Rock Crystal</t>
  </si>
  <si>
    <t>Salac Berry</t>
  </si>
  <si>
    <t>Shovel</t>
  </si>
  <si>
    <t>Soothe Bell</t>
  </si>
  <si>
    <t>Steel Crystal</t>
  </si>
  <si>
    <t>TM01 Super Fang</t>
  </si>
  <si>
    <t>TM10 Ice Beam</t>
  </si>
  <si>
    <t>TM11 Psyshock</t>
  </si>
  <si>
    <t>TM12 Protect</t>
  </si>
  <si>
    <t>TM13 Baton Pass</t>
  </si>
  <si>
    <t>TM15 Giga Impact</t>
  </si>
  <si>
    <t>TM16 Hyper Beam</t>
  </si>
  <si>
    <t>TM18 Iron Head</t>
  </si>
  <si>
    <t>TM21 Throat Chop</t>
  </si>
  <si>
    <t>TM22 Fell Stinger</t>
  </si>
  <si>
    <t>TM23 Weather Ball</t>
  </si>
  <si>
    <t>TM24 Terrain Pulse</t>
  </si>
  <si>
    <t>TM38 Blizzard</t>
  </si>
  <si>
    <t>TM39 Psychic</t>
  </si>
  <si>
    <t>TM41 Reflect</t>
  </si>
  <si>
    <t>TM42 Light Screen</t>
  </si>
  <si>
    <t>TM45 Will-O-Wisp</t>
  </si>
  <si>
    <t>TM46 Fire Blast</t>
  </si>
  <si>
    <t>TM49 Rest</t>
  </si>
  <si>
    <t>TM50 Toxic</t>
  </si>
  <si>
    <t>TM51 Sleep Talk</t>
  </si>
  <si>
    <t>TM52 Aerial Ace</t>
  </si>
  <si>
    <t>TM54 Thunder Wave</t>
  </si>
  <si>
    <t>TM60 Freeze-Dry</t>
  </si>
  <si>
    <t>TM63 Thunder</t>
  </si>
  <si>
    <t>TM64 Close Combat</t>
  </si>
  <si>
    <t>TM66 Draco Meteor</t>
  </si>
  <si>
    <t>TM70 Hydro Pump</t>
  </si>
  <si>
    <t>TM74 Sunny Day</t>
  </si>
  <si>
    <t>TM75 Rain Dance</t>
  </si>
  <si>
    <t>TM76 Snowscape</t>
  </si>
  <si>
    <t>TM77 Sandstorm</t>
  </si>
  <si>
    <t>TM79 Grassy Terrain</t>
  </si>
  <si>
    <t>TM80 Electric Terrain</t>
  </si>
  <si>
    <t>TM81 Psychic Terrain</t>
  </si>
  <si>
    <t>TM82 Sparkling Terrain</t>
  </si>
  <si>
    <t>TM88 Galaxy Blast</t>
  </si>
  <si>
    <t>TM91 Tri-Attack</t>
  </si>
  <si>
    <t>TM94 Hurricane</t>
  </si>
  <si>
    <t>TM95 Trick Room</t>
  </si>
  <si>
    <t>TM96 Energy Ball</t>
  </si>
  <si>
    <t>Visor</t>
  </si>
  <si>
    <t>Warehouse Key</t>
  </si>
  <si>
    <t>Water Crystal</t>
  </si>
  <si>
    <t>Wire Cutters</t>
  </si>
  <si>
    <t>Pos</t>
  </si>
  <si>
    <t>Metronome</t>
  </si>
  <si>
    <t>Ability Shield</t>
  </si>
  <si>
    <t>Protective Pads</t>
  </si>
  <si>
    <t>Punching Glove</t>
  </si>
  <si>
    <t>Shell Bell</t>
  </si>
  <si>
    <t>Zoom Lens</t>
  </si>
  <si>
    <t>Amulet Coin</t>
  </si>
  <si>
    <t>Binding Band</t>
  </si>
  <si>
    <t>Grip Claw</t>
  </si>
  <si>
    <t>Ring Target</t>
  </si>
  <si>
    <t>Sticky Barb</t>
  </si>
  <si>
    <t>Utility Umbrella</t>
  </si>
  <si>
    <t>Eject Button</t>
  </si>
  <si>
    <t>Eject Pack</t>
  </si>
  <si>
    <t>Mirror Herb</t>
  </si>
  <si>
    <t>Electric Seed</t>
  </si>
  <si>
    <t>Grassy Seed</t>
  </si>
  <si>
    <t>Psychic Seed</t>
  </si>
  <si>
    <t>Sparkly Seed</t>
  </si>
  <si>
    <t>Room Service</t>
  </si>
  <si>
    <t>Adrenaline Orb</t>
  </si>
  <si>
    <t>Absorb Bulb</t>
  </si>
  <si>
    <t>Cell Battery</t>
  </si>
  <si>
    <t>Luminous Moss</t>
  </si>
  <si>
    <t>Snowball</t>
  </si>
  <si>
    <t>Obt</t>
  </si>
  <si>
    <t>Body Press</t>
  </si>
  <si>
    <t>Scorching Sands</t>
  </si>
  <si>
    <t>Breaking Swipe</t>
  </si>
  <si>
    <t>Power Gem</t>
  </si>
  <si>
    <t>Meteor Assault</t>
  </si>
  <si>
    <t>Arcane Spell</t>
  </si>
  <si>
    <t>Disenchant</t>
  </si>
  <si>
    <t>Trick Tackle</t>
  </si>
  <si>
    <t>Radiant Break</t>
  </si>
  <si>
    <t>Light Drain</t>
  </si>
  <si>
    <t>Spotlight Ray</t>
  </si>
  <si>
    <t>Light Speed</t>
  </si>
  <si>
    <t>Defog</t>
  </si>
  <si>
    <t>Radio Burst</t>
  </si>
  <si>
    <t>Shadow -1</t>
  </si>
  <si>
    <t>Master Ball</t>
  </si>
  <si>
    <t>Cherish Ball</t>
  </si>
  <si>
    <t>Premier Ball</t>
  </si>
  <si>
    <t>Heal Ball</t>
  </si>
  <si>
    <t>Dusk Ball</t>
  </si>
  <si>
    <t>Quick Ball</t>
  </si>
  <si>
    <t>Timer Ball</t>
  </si>
  <si>
    <t>Repeat Ball</t>
  </si>
  <si>
    <t>Luxury Ball</t>
  </si>
  <si>
    <t>Nest Ball</t>
  </si>
  <si>
    <t>Dive Ball</t>
  </si>
  <si>
    <t>Net Ball</t>
  </si>
  <si>
    <t>Heavy Ball</t>
  </si>
  <si>
    <t>Lure Ball</t>
  </si>
  <si>
    <t>Friend Ball</t>
  </si>
  <si>
    <t>Love Ball</t>
  </si>
  <si>
    <t>Level Ball</t>
  </si>
  <si>
    <t>Fast Ball</t>
  </si>
  <si>
    <t>Moon Ball</t>
  </si>
  <si>
    <t>Dream Ball</t>
  </si>
  <si>
    <t>Beast Ball</t>
  </si>
  <si>
    <t>Cleanse Tag</t>
  </si>
  <si>
    <t>Damaged Bulb</t>
  </si>
  <si>
    <t>Damaged Battery</t>
  </si>
  <si>
    <t>Damaged Moss</t>
  </si>
  <si>
    <t>Damaged Snowball</t>
  </si>
  <si>
    <t>TM02 Radio Burst</t>
  </si>
  <si>
    <t>TM03 Arcane Spell</t>
  </si>
  <si>
    <t>TM43 Spotlight Ray</t>
  </si>
  <si>
    <t>TM44 Light Speed</t>
  </si>
  <si>
    <t>TM55 Disenchant</t>
  </si>
  <si>
    <t>TM56 Trick Tackle</t>
  </si>
  <si>
    <t>TM57 Defog</t>
  </si>
  <si>
    <t>TM59 Body Press</t>
  </si>
  <si>
    <t>TM61 Scorching Sands</t>
  </si>
  <si>
    <t>TM67 Breaking Swipe</t>
  </si>
  <si>
    <t>TM68 Light Drain</t>
  </si>
  <si>
    <t>TM85 Power Gem</t>
  </si>
  <si>
    <t>TM92 Meteor Assault</t>
  </si>
  <si>
    <t>TM97 Radiant Break</t>
  </si>
  <si>
    <t>Lansat Berry</t>
  </si>
  <si>
    <t>Jaboca Berry</t>
  </si>
  <si>
    <t>Rowap Berry</t>
  </si>
  <si>
    <t>Kee Berry</t>
  </si>
  <si>
    <t>Maranga Berry</t>
  </si>
  <si>
    <t>Enigma Berry</t>
  </si>
  <si>
    <t>NPC</t>
  </si>
  <si>
    <t>Rival</t>
  </si>
  <si>
    <t>Gym</t>
  </si>
  <si>
    <t>Shop</t>
  </si>
  <si>
    <t>Prize</t>
  </si>
  <si>
    <t>Cheat</t>
  </si>
  <si>
    <t xml:space="preserve">NPC </t>
  </si>
  <si>
    <t>1. Shocky Spire</t>
  </si>
  <si>
    <t>1. Whiskeroar</t>
  </si>
  <si>
    <t>5. Sneasler</t>
  </si>
  <si>
    <t>6. Grafaiai</t>
  </si>
  <si>
    <t>Swalot-X+</t>
  </si>
  <si>
    <t>3. Swalot</t>
  </si>
  <si>
    <t>1. Blaster</t>
  </si>
  <si>
    <t>3. Dompster</t>
  </si>
  <si>
    <t>4. Wormatron</t>
  </si>
  <si>
    <t>5. Wormatron-S</t>
  </si>
  <si>
    <t>6. Dust Sorcerer</t>
  </si>
  <si>
    <t>Chivick</t>
  </si>
  <si>
    <t>Humbrill</t>
  </si>
  <si>
    <t>Huminescence</t>
  </si>
  <si>
    <t>Scigeon</t>
  </si>
  <si>
    <t>Thieven</t>
  </si>
  <si>
    <t>Armoraven</t>
  </si>
  <si>
    <t>Grunswine</t>
  </si>
  <si>
    <t>Hoghoncho</t>
  </si>
  <si>
    <t>Teddull</t>
  </si>
  <si>
    <t>Teddician</t>
  </si>
  <si>
    <t>Teddinaut</t>
  </si>
  <si>
    <t>Minipede</t>
  </si>
  <si>
    <t>Centinel</t>
  </si>
  <si>
    <t>Milimace</t>
  </si>
  <si>
    <t>Milipleura</t>
  </si>
  <si>
    <t>Kappalm</t>
  </si>
  <si>
    <t>Serpenge</t>
  </si>
  <si>
    <t>Scarabit</t>
  </si>
  <si>
    <t>Spartipede</t>
  </si>
  <si>
    <t>Gladipede</t>
  </si>
  <si>
    <t>Willolagos</t>
  </si>
  <si>
    <t>Sedinister</t>
  </si>
  <si>
    <t>Metaslate</t>
  </si>
  <si>
    <t>Sedisoftra</t>
  </si>
  <si>
    <t>Prismodon</t>
  </si>
  <si>
    <t>Asmethiss</t>
  </si>
  <si>
    <t>Aspomancer</t>
  </si>
  <si>
    <t>Kobraturgy</t>
  </si>
  <si>
    <t>Sabore</t>
  </si>
  <si>
    <t>Saberock</t>
  </si>
  <si>
    <t>Rexisilt</t>
  </si>
  <si>
    <t>Pterator</t>
  </si>
  <si>
    <t>Snowlet</t>
  </si>
  <si>
    <t>Nixnerva</t>
  </si>
  <si>
    <t>Cervora</t>
  </si>
  <si>
    <t>Grislush</t>
  </si>
  <si>
    <t>Thalarctic</t>
  </si>
  <si>
    <t>Ceramber</t>
  </si>
  <si>
    <t>Topazatops</t>
  </si>
  <si>
    <t>Lunymph</t>
  </si>
  <si>
    <t>Fearomoth</t>
  </si>
  <si>
    <t>Whotter</t>
  </si>
  <si>
    <t>Lutrineer</t>
  </si>
  <si>
    <t>Mosscelot</t>
  </si>
  <si>
    <t>Osceloma</t>
  </si>
  <si>
    <t>Benglow</t>
  </si>
  <si>
    <t>Sember</t>
  </si>
  <si>
    <t>Kaboon</t>
  </si>
  <si>
    <t>Detonape</t>
  </si>
  <si>
    <t>Sedinister-E</t>
  </si>
  <si>
    <t>Metaslate-E</t>
  </si>
  <si>
    <t>Sedisoftra-E</t>
  </si>
  <si>
    <t>Prismodon-E</t>
  </si>
  <si>
    <t>Sember-S</t>
  </si>
  <si>
    <t>Kaboon-S</t>
  </si>
  <si>
    <t>Detonape-S</t>
  </si>
  <si>
    <t>Temple Ball</t>
  </si>
  <si>
    <t>Temple Orb</t>
  </si>
  <si>
    <t>Destiny Knot</t>
  </si>
  <si>
    <t>Faith Core</t>
  </si>
  <si>
    <t>Logic Core</t>
  </si>
  <si>
    <t>Frost Orb</t>
  </si>
  <si>
    <t>Infinite Repel</t>
  </si>
  <si>
    <t>Healing Pack</t>
  </si>
  <si>
    <t>Pocket PC</t>
  </si>
  <si>
    <t>Rare Candy Box</t>
  </si>
  <si>
    <t>Status Kit</t>
  </si>
  <si>
    <t>Damage Kit</t>
  </si>
  <si>
    <t>Outer Space</t>
  </si>
  <si>
    <t>Letter 2</t>
  </si>
  <si>
    <t>5. Bronzong</t>
  </si>
  <si>
    <t>6. Cinneroph</t>
  </si>
  <si>
    <t>7. Geniova+</t>
  </si>
  <si>
    <t>4. Hissimitar</t>
  </si>
  <si>
    <t>Perilyte</t>
  </si>
  <si>
    <t>Blohadel</t>
  </si>
  <si>
    <t>Sasquotta</t>
  </si>
  <si>
    <t>Hueduu</t>
  </si>
  <si>
    <t>Faulette</t>
  </si>
  <si>
    <t>Fable Charge</t>
  </si>
  <si>
    <t>Fable Stone</t>
  </si>
  <si>
    <t>Ryder</t>
  </si>
  <si>
    <t>2. Blohadel</t>
  </si>
  <si>
    <t>3. Flamigo</t>
  </si>
  <si>
    <t>5. Necrozma</t>
  </si>
  <si>
    <t>6. Alakazam</t>
  </si>
  <si>
    <t>Galactic -&gt; Dark/Galactic</t>
  </si>
  <si>
    <t>4. Superchargo</t>
  </si>
  <si>
    <t>1. Icy Serpent</t>
  </si>
  <si>
    <t>Icy Serpent: Dragon Dance/Sword of Dawn/Ice Spinner/Earthquake/Magic Fang/Magic Reflect</t>
  </si>
  <si>
    <t>Move Encyclopedia</t>
  </si>
  <si>
    <t>Suvirnero</t>
  </si>
  <si>
    <t>2. Superchargo+</t>
  </si>
  <si>
    <t>Hast Shocky Spire Hissimitar/Megawatt/Bronzong Cinneroph Dusk Skater Legendary Dragon</t>
  </si>
  <si>
    <t>Coin</t>
  </si>
  <si>
    <t>3. Pterator</t>
  </si>
  <si>
    <t>2. Kappalm</t>
  </si>
  <si>
    <t>4. Detonape</t>
  </si>
  <si>
    <t>5. Detonape-S</t>
  </si>
  <si>
    <t>St. Joseph 2A</t>
  </si>
  <si>
    <t>St. Joseph 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</si>
</sst>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5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1" fillId="6" borderId="0" xfId="5"/>
    <xf numFmtId="0" fontId="1" fillId="8" borderId="0" xfId="7"/>
    <xf numFmtId="0" fontId="3" fillId="3" borderId="0" xfId="2"/>
    <xf numFmtId="0" fontId="4" fillId="4" borderId="0" xfId="3"/>
    <xf numFmtId="0" fontId="2" fillId="2" borderId="0" xfId="1"/>
    <xf numFmtId="0" fontId="1" fillId="5" borderId="0" xfId="4"/>
    <xf numFmtId="164" fontId="5" fillId="7" borderId="0" xfId="6" applyNumberFormat="1"/>
    <xf numFmtId="0" fontId="1" fillId="9" borderId="0" xfId="8"/>
    <xf numFmtId="0" fontId="1" fillId="0" borderId="0" xfId="5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" fillId="0" borderId="0" xfId="7" applyFill="1"/>
    <xf numFmtId="0" fontId="1" fillId="0" borderId="0" xfId="4" applyFill="1"/>
    <xf numFmtId="0" fontId="1" fillId="10" borderId="0" xfId="5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0" borderId="0" xfId="0" applyAlignment="1">
      <alignment horizontal="left"/>
    </xf>
    <xf numFmtId="0" fontId="3" fillId="0" borderId="0" xfId="2" applyFill="1" applyAlignment="1">
      <alignment horizontal="left"/>
    </xf>
    <xf numFmtId="0" fontId="7" fillId="13" borderId="0" xfId="3" applyFont="1" applyFill="1"/>
    <xf numFmtId="10" fontId="0" fillId="0" borderId="0" xfId="9" applyNumberFormat="1" applyFont="1"/>
    <xf numFmtId="0" fontId="0" fillId="0" borderId="0" xfId="0" quotePrefix="1"/>
    <xf numFmtId="16" fontId="0" fillId="0" borderId="0" xfId="0" quotePrefix="1" applyNumberFormat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10" fillId="0" borderId="0" xfId="0" applyFont="1"/>
    <xf numFmtId="0" fontId="8" fillId="0" borderId="0" xfId="0" applyFont="1"/>
    <xf numFmtId="0" fontId="9" fillId="0" borderId="0" xfId="0" quotePrefix="1" applyFont="1"/>
    <xf numFmtId="10" fontId="0" fillId="0" borderId="0" xfId="0" applyNumberFormat="1"/>
    <xf numFmtId="9" fontId="0" fillId="0" borderId="0" xfId="9" applyFont="1"/>
    <xf numFmtId="0" fontId="7" fillId="0" borderId="0" xfId="2" applyFont="1" applyFill="1" applyAlignment="1">
      <alignment horizontal="left"/>
    </xf>
    <xf numFmtId="0" fontId="0" fillId="28" borderId="0" xfId="0" applyFill="1"/>
    <xf numFmtId="0" fontId="3" fillId="29" borderId="0" xfId="0" applyFont="1" applyFill="1"/>
    <xf numFmtId="0" fontId="4" fillId="30" borderId="0" xfId="0" applyFont="1" applyFill="1"/>
    <xf numFmtId="0" fontId="2" fillId="31" borderId="0" xfId="0" applyFont="1" applyFill="1"/>
    <xf numFmtId="0" fontId="0" fillId="32" borderId="0" xfId="0" applyFill="1"/>
    <xf numFmtId="0" fontId="11" fillId="23" borderId="0" xfId="0" applyFont="1" applyFill="1"/>
    <xf numFmtId="0" fontId="3" fillId="24" borderId="0" xfId="0" applyFont="1" applyFill="1"/>
    <xf numFmtId="0" fontId="4" fillId="25" borderId="0" xfId="0" applyFont="1" applyFill="1"/>
    <xf numFmtId="0" fontId="2" fillId="26" borderId="0" xfId="0" applyFont="1" applyFill="1"/>
    <xf numFmtId="0" fontId="11" fillId="27" borderId="0" xfId="0" applyFont="1" applyFill="1"/>
    <xf numFmtId="0" fontId="5" fillId="33" borderId="0" xfId="0" applyFont="1" applyFill="1"/>
    <xf numFmtId="0" fontId="0" fillId="34" borderId="0" xfId="0" applyFill="1"/>
    <xf numFmtId="0" fontId="1" fillId="6" borderId="0" xfId="5" applyNumberFormat="1"/>
    <xf numFmtId="0" fontId="12" fillId="13" borderId="0" xfId="0" applyFont="1" applyFill="1"/>
    <xf numFmtId="0" fontId="12" fillId="22" borderId="0" xfId="0" applyFont="1" applyFill="1"/>
    <xf numFmtId="0" fontId="12" fillId="11" borderId="0" xfId="0" applyFont="1" applyFill="1"/>
    <xf numFmtId="0" fontId="12" fillId="10" borderId="0" xfId="0" applyFont="1" applyFill="1"/>
    <xf numFmtId="0" fontId="13" fillId="11" borderId="0" xfId="3" applyFont="1" applyFill="1"/>
    <xf numFmtId="0" fontId="0" fillId="35" borderId="0" xfId="0" applyFill="1"/>
    <xf numFmtId="0" fontId="0" fillId="36" borderId="0" xfId="0" applyFill="1"/>
  </cellXfs>
  <cellStyles count="10">
    <cellStyle name="20% - Accent1" xfId="4" builtinId="30"/>
    <cellStyle name="20% - Accent6" xfId="7" builtinId="50"/>
    <cellStyle name="40% - Accent6" xfId="8" builtinId="51"/>
    <cellStyle name="60% - Accent4" xfId="5" builtinId="44"/>
    <cellStyle name="Accent6" xfId="6" builtinId="49"/>
    <cellStyle name="Bad" xfId="2" builtinId="27"/>
    <cellStyle name="Good" xfId="1" builtinId="26"/>
    <cellStyle name="Neutral" xfId="3" builtinId="28"/>
    <cellStyle name="Normal" xfId="0" builtinId="0"/>
    <cellStyle name="Percent" xfId="9" builtinId="5"/>
  </cellStyles>
  <dxfs count="12"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border outline="0">
        <top style="double">
          <color rgb="FF3F3F3F"/>
        </top>
      </border>
    </dxf>
  </dxfs>
  <tableStyles count="0" defaultTableStyle="TableStyleMedium2" defaultPivotStyle="PivotStyleLight16"/>
  <colors>
    <mruColors>
      <color rgb="FFEF2525"/>
      <color rgb="FFFDB1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DD2A8C-1E55-4C6C-8CEC-614080B9B737}" name="Table3" displayName="Table3" ref="A145:K441" totalsRowShown="0" tableBorderDxfId="11">
  <autoFilter ref="A145:K441" xr:uid="{12DD2A8C-1E55-4C6C-8CEC-614080B9B737}"/>
  <sortState xmlns:xlrd2="http://schemas.microsoft.com/office/spreadsheetml/2017/richdata2" ref="A146:K441">
    <sortCondition ref="B145:B441"/>
  </sortState>
  <tableColumns count="11">
    <tableColumn id="10" xr3:uid="{BCD684F9-91A2-458E-B61B-0E2FC6A62D0D}" name="Pkdx #"/>
    <tableColumn id="11" xr3:uid="{C8B5C43A-CE53-443E-8C1D-AC00B102DB7C}" name="ID"/>
    <tableColumn id="1" xr3:uid="{954E08A8-D138-4D6D-97C7-F47E4324725D}" name="Name"/>
    <tableColumn id="2" xr3:uid="{F9097124-9DD8-47D1-881E-F9976C72C702}" name="Total" dataDxfId="10" dataCellStyle="60% - Accent4">
      <calculatedColumnFormula>SUM($E146:$J146)</calculatedColumnFormula>
    </tableColumn>
    <tableColumn id="3" xr3:uid="{D7056670-07AC-4C55-9FE2-A9E5FE4DB2A1}" name="HP" dataCellStyle="20% - Accent6"/>
    <tableColumn id="4" xr3:uid="{1859B7AA-34E5-47E9-A314-0C60B6833C48}" name="Attack" dataCellStyle="Bad"/>
    <tableColumn id="5" xr3:uid="{C0209BBF-E47C-4BEE-9E6C-D7155EBF33AC}" name="Defense" dataCellStyle="Neutral"/>
    <tableColumn id="6" xr3:uid="{573FE04E-D718-4FA3-B843-7CE396A6AD35}" name="Sp.Atk" dataCellStyle="Good"/>
    <tableColumn id="7" xr3:uid="{244799C6-3BA7-405D-AABA-D39B63C42EE3}" name="Sp.Def" dataCellStyle="Neutral"/>
    <tableColumn id="8" xr3:uid="{0AAF0359-C1D7-47EF-8CDE-77416729403C}" name="Speed" dataCellStyle="20% - Accent1"/>
    <tableColumn id="9" xr3:uid="{45FA62DF-89A7-4E5E-BF26-6E3E62D7A58D}" name="Total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EE9C9-B88B-4900-96F6-A442C6DB8130}" name="Table1" displayName="Table1" ref="M54:T75" totalsRowCount="1">
  <autoFilter ref="M54:T74" xr:uid="{7D4EE9C9-B88B-4900-96F6-A442C6DB8130}"/>
  <sortState xmlns:xlrd2="http://schemas.microsoft.com/office/spreadsheetml/2017/richdata2" ref="M55:T74">
    <sortCondition descending="1" ref="T54:T74"/>
  </sortState>
  <tableColumns count="8">
    <tableColumn id="1" xr3:uid="{5ECD7C50-12C2-4722-BB43-4A5392C844D3}" name="Type" totalsRowLabel="TOTAL"/>
    <tableColumn id="2" xr3:uid="{1FEEF44A-9297-470E-B8C5-DB2860F63B26}" name="HP" totalsRowFunction="average" totalsRowDxfId="9"/>
    <tableColumn id="3" xr3:uid="{C4F64A03-884E-4ABF-863F-FB93EB9C48D7}" name="Atk" totalsRowFunction="average" totalsRowDxfId="8"/>
    <tableColumn id="4" xr3:uid="{7D26ECE6-FEFB-43CC-9954-6A7B9A9B1FFF}" name="Def" totalsRowFunction="average" totalsRowDxfId="7"/>
    <tableColumn id="5" xr3:uid="{5E7CA636-F06B-46EF-9E88-779A1C949192}" name="SpA" totalsRowFunction="average" totalsRowDxfId="6"/>
    <tableColumn id="6" xr3:uid="{21E01ACA-9002-4C73-9BFF-AF400041F7E7}" name="SpD" totalsRowFunction="average" totalsRowDxfId="5"/>
    <tableColumn id="7" xr3:uid="{717E4770-D119-4D0A-BD0F-58E3D3ADFE4C}" name="Spe" totalsRowFunction="average" totalsRowDxfId="4"/>
    <tableColumn id="8" xr3:uid="{8B8669EB-BDCE-49F8-84EE-CA277552CD38}" name="Amt" totalsRowFunction="average" totalsRowDxfId="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22BB0D-7C89-4CEA-AC65-116BFBD5ACF5}" name="Table2" displayName="Table2" ref="Z29:AD325" totalsRowShown="0">
  <autoFilter ref="Z29:AD325" xr:uid="{E322BB0D-7C89-4CEA-AC65-116BFBD5ACF5}"/>
  <sortState xmlns:xlrd2="http://schemas.microsoft.com/office/spreadsheetml/2017/richdata2" ref="Z30:AD325">
    <sortCondition ref="AD29:AD325"/>
  </sortState>
  <tableColumns count="5">
    <tableColumn id="5" xr3:uid="{D4240EEB-6B7E-4513-81CD-64F028AE015F}" name="Num"/>
    <tableColumn id="1" xr3:uid="{927F8053-02EB-4DE4-A9C2-E39369A9D18C}" name="Species"/>
    <tableColumn id="2" xr3:uid="{88EA7429-2A79-45C2-9DAD-432E911FB847}" name="Amount"/>
    <tableColumn id="3" xr3:uid="{31049355-8917-406D-A961-EA9E609C094C}" name="Average" dataDxfId="2"/>
    <tableColumn id="4" xr3:uid="{9EB8DBFF-5E4E-4D13-B06A-8EEDCAE0D250}" name="Total" dataDxfId="1" dataCellStyle="Percent">
      <calculatedColumnFormula>AC30*AB30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8F567D-726D-4341-95E0-502216E748B2}" name="Table4" displayName="Table4" ref="AF29:AI325" totalsRowShown="0">
  <autoFilter ref="AF29:AI325" xr:uid="{548F567D-726D-4341-95E0-502216E748B2}"/>
  <sortState xmlns:xlrd2="http://schemas.microsoft.com/office/spreadsheetml/2017/richdata2" ref="AF30:AI325">
    <sortCondition ref="AH29:AH325"/>
  </sortState>
  <tableColumns count="4">
    <tableColumn id="1" xr3:uid="{71084C9A-5E75-4048-82AA-70A2D1CBD776}" name="Num"/>
    <tableColumn id="2" xr3:uid="{7A1103DC-DAF9-41EF-BBD3-0883ED909130}" name="Pokemon"/>
    <tableColumn id="3" xr3:uid="{A641B1E3-DC03-463F-B2D8-CE49F38612E2}" name="Amt"/>
    <tableColumn id="4" xr3:uid="{8554C379-EE33-4C0B-B30E-A04B1C29BF4E}" name="%" dataDxfId="0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CD70F4-8B57-40C5-9200-528EDFFF7692}" name="Table5" displayName="Table5" ref="AK29:AN428" totalsRowShown="0">
  <autoFilter ref="AK29:AN428" xr:uid="{CCCD70F4-8B57-40C5-9200-528EDFFF7692}"/>
  <sortState xmlns:xlrd2="http://schemas.microsoft.com/office/spreadsheetml/2017/richdata2" ref="AK30:AN428">
    <sortCondition ref="AM29:AM428"/>
  </sortState>
  <tableColumns count="4">
    <tableColumn id="1" xr3:uid="{26A53F18-86E2-4791-9F01-3774B056CCDA}" name="Pos"/>
    <tableColumn id="2" xr3:uid="{938EED5E-C7B5-4858-8626-CEBB24C12147}" name="Item"/>
    <tableColumn id="3" xr3:uid="{E250ABA2-E79E-42F4-B7A9-99467877BC5B}" name="Amt"/>
    <tableColumn id="4" xr3:uid="{F1D1AF47-9856-4704-8FFE-7131A0C03058}" name="Ob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2C10-9C1D-4BA8-9034-8E41B08DF934}">
  <dimension ref="A1:AW620"/>
  <sheetViews>
    <sheetView tabSelected="1" topLeftCell="M324" zoomScaleNormal="100" workbookViewId="0">
      <selection activeCell="V344" sqref="V344"/>
    </sheetView>
  </sheetViews>
  <sheetFormatPr defaultRowHeight="15" x14ac:dyDescent="0.25"/>
  <cols>
    <col min="3" max="3" width="14.42578125" bestFit="1" customWidth="1"/>
    <col min="4" max="4" width="11" style="1" customWidth="1"/>
    <col min="5" max="5" width="11" style="2" customWidth="1"/>
    <col min="6" max="6" width="11" style="3" customWidth="1"/>
    <col min="7" max="7" width="11" style="4" customWidth="1"/>
    <col min="8" max="8" width="11" style="5" customWidth="1"/>
    <col min="9" max="9" width="11" style="4" customWidth="1"/>
    <col min="10" max="10" width="11" style="6" customWidth="1"/>
    <col min="11" max="11" width="11" customWidth="1"/>
    <col min="12" max="13" width="17" bestFit="1" customWidth="1"/>
    <col min="14" max="14" width="15.28515625" customWidth="1"/>
    <col min="15" max="15" width="17.28515625" bestFit="1" customWidth="1"/>
    <col min="16" max="16" width="12.85546875" bestFit="1" customWidth="1"/>
    <col min="17" max="17" width="11.5703125" bestFit="1" customWidth="1"/>
    <col min="20" max="20" width="11.42578125" customWidth="1"/>
    <col min="21" max="21" width="17" customWidth="1"/>
    <col min="23" max="23" width="15" customWidth="1"/>
    <col min="26" max="26" width="6.7109375" customWidth="1"/>
    <col min="27" max="29" width="10.85546875" customWidth="1"/>
    <col min="30" max="32" width="7.7109375" customWidth="1"/>
    <col min="33" max="33" width="11.42578125" customWidth="1"/>
    <col min="34" max="36" width="7.7109375" customWidth="1"/>
    <col min="37" max="37" width="9.5703125" customWidth="1"/>
    <col min="38" max="38" width="8.28515625" customWidth="1"/>
    <col min="39" max="47" width="7.7109375" customWidth="1"/>
  </cols>
  <sheetData>
    <row r="1" spans="2:49" x14ac:dyDescent="0.25">
      <c r="B1">
        <v>-1</v>
      </c>
      <c r="C1" t="s">
        <v>0</v>
      </c>
      <c r="D1" s="1">
        <f>SUM(E1:J1)</f>
        <v>326</v>
      </c>
      <c r="E1" s="2">
        <v>35</v>
      </c>
      <c r="F1" s="3">
        <v>46</v>
      </c>
      <c r="G1" s="4">
        <v>45</v>
      </c>
      <c r="H1" s="5">
        <v>67</v>
      </c>
      <c r="I1" s="4">
        <v>70</v>
      </c>
      <c r="J1" s="6">
        <v>63</v>
      </c>
      <c r="K1">
        <v>326</v>
      </c>
      <c r="M1">
        <v>32</v>
      </c>
      <c r="N1" s="22">
        <f t="shared" ref="N1:N20" si="0">M1/236</f>
        <v>0.13559322033898305</v>
      </c>
      <c r="O1" s="10" t="s">
        <v>178</v>
      </c>
      <c r="P1" s="10" t="s">
        <v>175</v>
      </c>
      <c r="U1" s="7">
        <v>250</v>
      </c>
      <c r="W1" s="8" t="s">
        <v>144</v>
      </c>
      <c r="X1" s="8" t="s">
        <v>146</v>
      </c>
      <c r="Y1" t="s">
        <v>156</v>
      </c>
      <c r="AB1" t="s">
        <v>175</v>
      </c>
      <c r="AC1" t="s">
        <v>176</v>
      </c>
      <c r="AD1" t="s">
        <v>178</v>
      </c>
      <c r="AE1" t="s">
        <v>180</v>
      </c>
      <c r="AF1" t="s">
        <v>182</v>
      </c>
      <c r="AG1" t="s">
        <v>184</v>
      </c>
      <c r="AH1" t="s">
        <v>186</v>
      </c>
      <c r="AI1" t="s">
        <v>188</v>
      </c>
      <c r="AJ1" t="s">
        <v>190</v>
      </c>
      <c r="AK1" t="s">
        <v>192</v>
      </c>
      <c r="AL1" t="s">
        <v>194</v>
      </c>
      <c r="AM1" t="s">
        <v>196</v>
      </c>
      <c r="AN1" t="s">
        <v>198</v>
      </c>
      <c r="AO1" t="s">
        <v>200</v>
      </c>
      <c r="AP1" t="s">
        <v>202</v>
      </c>
      <c r="AQ1" t="s">
        <v>204</v>
      </c>
      <c r="AR1" t="s">
        <v>206</v>
      </c>
      <c r="AS1" t="s">
        <v>208</v>
      </c>
      <c r="AT1" t="s">
        <v>210</v>
      </c>
      <c r="AU1" t="s">
        <v>212</v>
      </c>
    </row>
    <row r="2" spans="2:49" x14ac:dyDescent="0.25">
      <c r="B2">
        <v>-2</v>
      </c>
      <c r="C2" t="s">
        <v>1</v>
      </c>
      <c r="D2" s="1">
        <f t="shared" ref="D2:D65" si="1">SUM(E2:J2)</f>
        <v>408</v>
      </c>
      <c r="E2" s="2">
        <v>64</v>
      </c>
      <c r="F2" s="3">
        <v>54</v>
      </c>
      <c r="G2" s="4">
        <v>85</v>
      </c>
      <c r="H2" s="5">
        <v>67</v>
      </c>
      <c r="I2" s="4">
        <v>78</v>
      </c>
      <c r="J2" s="6">
        <v>60</v>
      </c>
      <c r="K2">
        <v>408</v>
      </c>
      <c r="M2">
        <v>30</v>
      </c>
      <c r="N2" s="22">
        <f t="shared" si="0"/>
        <v>0.1271186440677966</v>
      </c>
      <c r="O2" s="10" t="s">
        <v>182</v>
      </c>
      <c r="P2" s="10" t="s">
        <v>176</v>
      </c>
      <c r="U2" t="s">
        <v>134</v>
      </c>
      <c r="V2" s="8">
        <v>14</v>
      </c>
      <c r="W2" t="s">
        <v>155</v>
      </c>
      <c r="X2" s="1" t="s">
        <v>147</v>
      </c>
      <c r="Y2" s="1">
        <v>1</v>
      </c>
      <c r="AA2" t="s">
        <v>175</v>
      </c>
      <c r="AN2" s="17"/>
      <c r="AO2" s="18"/>
      <c r="AR2" s="17"/>
      <c r="AT2" s="16"/>
      <c r="AW2" t="s">
        <v>212</v>
      </c>
    </row>
    <row r="3" spans="2:49" x14ac:dyDescent="0.25">
      <c r="B3">
        <v>-3</v>
      </c>
      <c r="C3" t="s">
        <v>2</v>
      </c>
      <c r="D3" s="1">
        <f t="shared" si="1"/>
        <v>525</v>
      </c>
      <c r="E3" s="2">
        <v>100</v>
      </c>
      <c r="F3" s="3">
        <v>70</v>
      </c>
      <c r="G3" s="4">
        <v>120</v>
      </c>
      <c r="H3" s="5">
        <v>90</v>
      </c>
      <c r="I3" s="4">
        <v>85</v>
      </c>
      <c r="J3" s="6">
        <v>60</v>
      </c>
      <c r="K3">
        <v>525</v>
      </c>
      <c r="M3">
        <v>27</v>
      </c>
      <c r="N3" s="22">
        <f t="shared" si="0"/>
        <v>0.11440677966101695</v>
      </c>
      <c r="O3" s="10" t="s">
        <v>198</v>
      </c>
      <c r="P3" s="10" t="s">
        <v>178</v>
      </c>
      <c r="U3" t="s">
        <v>135</v>
      </c>
      <c r="V3" s="8">
        <v>0</v>
      </c>
      <c r="W3" t="s">
        <v>161</v>
      </c>
      <c r="X3" s="1" t="s">
        <v>148</v>
      </c>
      <c r="Y3" s="1">
        <v>2</v>
      </c>
      <c r="AA3" t="s">
        <v>176</v>
      </c>
      <c r="AC3" s="17"/>
      <c r="AD3" s="17"/>
      <c r="AE3" s="16"/>
      <c r="AG3" s="16"/>
      <c r="AM3" s="16"/>
      <c r="AN3" s="17"/>
      <c r="AP3" s="17"/>
      <c r="AR3" s="16"/>
      <c r="AU3" s="18"/>
      <c r="AW3" t="s">
        <v>198</v>
      </c>
    </row>
    <row r="4" spans="2:49" x14ac:dyDescent="0.25">
      <c r="B4">
        <v>-4</v>
      </c>
      <c r="C4" t="s">
        <v>3</v>
      </c>
      <c r="D4" s="1">
        <f t="shared" si="1"/>
        <v>320</v>
      </c>
      <c r="E4" s="2">
        <v>59</v>
      </c>
      <c r="F4" s="3">
        <v>46</v>
      </c>
      <c r="G4" s="4">
        <v>67</v>
      </c>
      <c r="H4" s="5">
        <v>62</v>
      </c>
      <c r="I4" s="4">
        <v>55</v>
      </c>
      <c r="J4" s="6">
        <v>31</v>
      </c>
      <c r="K4">
        <v>320</v>
      </c>
      <c r="M4">
        <v>26</v>
      </c>
      <c r="N4" s="22">
        <f t="shared" si="0"/>
        <v>0.11016949152542373</v>
      </c>
      <c r="O4" s="10" t="s">
        <v>176</v>
      </c>
      <c r="P4" s="10" t="s">
        <v>180</v>
      </c>
      <c r="U4" t="s">
        <v>136</v>
      </c>
      <c r="V4" s="8"/>
      <c r="W4" t="s">
        <v>164</v>
      </c>
      <c r="X4" t="s">
        <v>149</v>
      </c>
      <c r="Y4">
        <v>3</v>
      </c>
      <c r="AA4" t="s">
        <v>178</v>
      </c>
      <c r="AC4" s="16"/>
      <c r="AD4" s="17"/>
      <c r="AE4" s="17"/>
      <c r="AJ4" s="16"/>
      <c r="AN4" s="16"/>
      <c r="AP4" s="17"/>
      <c r="AW4" t="s">
        <v>192</v>
      </c>
    </row>
    <row r="5" spans="2:49" x14ac:dyDescent="0.25">
      <c r="B5">
        <v>-5</v>
      </c>
      <c r="C5" t="s">
        <v>4</v>
      </c>
      <c r="D5" s="1">
        <f t="shared" si="1"/>
        <v>400</v>
      </c>
      <c r="E5" s="2">
        <v>92</v>
      </c>
      <c r="F5" s="3">
        <v>51</v>
      </c>
      <c r="G5" s="4">
        <v>72</v>
      </c>
      <c r="H5" s="5">
        <v>75</v>
      </c>
      <c r="I5" s="4">
        <v>65</v>
      </c>
      <c r="J5" s="6">
        <v>45</v>
      </c>
      <c r="K5">
        <v>400</v>
      </c>
      <c r="M5">
        <v>26</v>
      </c>
      <c r="N5" s="22">
        <f t="shared" si="0"/>
        <v>0.11016949152542373</v>
      </c>
      <c r="O5" s="10" t="s">
        <v>208</v>
      </c>
      <c r="P5" s="10" t="s">
        <v>182</v>
      </c>
      <c r="U5" t="s">
        <v>137</v>
      </c>
      <c r="V5" s="8">
        <v>2</v>
      </c>
      <c r="X5" t="s">
        <v>150</v>
      </c>
      <c r="Y5">
        <v>4</v>
      </c>
      <c r="AA5" t="s">
        <v>180</v>
      </c>
      <c r="AC5" s="17"/>
      <c r="AD5" s="16"/>
      <c r="AE5" s="17"/>
      <c r="AI5" s="17"/>
      <c r="AJ5" s="16"/>
      <c r="AK5" s="17"/>
      <c r="AM5" s="17"/>
      <c r="AN5" s="16"/>
      <c r="AP5" s="17"/>
      <c r="AR5" s="17"/>
      <c r="AS5" s="16"/>
      <c r="AU5" s="17"/>
      <c r="AW5" t="s">
        <v>188</v>
      </c>
    </row>
    <row r="6" spans="2:49" x14ac:dyDescent="0.25">
      <c r="B6">
        <v>-6</v>
      </c>
      <c r="C6" t="s">
        <v>5</v>
      </c>
      <c r="D6" s="1">
        <f t="shared" si="1"/>
        <v>518</v>
      </c>
      <c r="E6" s="2">
        <v>95</v>
      </c>
      <c r="F6" s="3">
        <v>54</v>
      </c>
      <c r="G6" s="4">
        <v>75</v>
      </c>
      <c r="H6" s="5">
        <v>109</v>
      </c>
      <c r="I6" s="4">
        <v>130</v>
      </c>
      <c r="J6" s="6">
        <v>55</v>
      </c>
      <c r="K6">
        <v>518</v>
      </c>
      <c r="M6">
        <v>25</v>
      </c>
      <c r="N6" s="22">
        <f t="shared" si="0"/>
        <v>0.1059322033898305</v>
      </c>
      <c r="O6" s="10" t="s">
        <v>186</v>
      </c>
      <c r="P6" s="10" t="s">
        <v>184</v>
      </c>
      <c r="U6" t="s">
        <v>138</v>
      </c>
      <c r="V6" s="8"/>
      <c r="X6" t="s">
        <v>151</v>
      </c>
      <c r="Y6">
        <v>5</v>
      </c>
      <c r="AA6" t="s">
        <v>182</v>
      </c>
      <c r="AD6" s="16"/>
      <c r="AE6" s="17"/>
      <c r="AF6" s="17"/>
      <c r="AJ6" s="18"/>
      <c r="AK6" s="16"/>
      <c r="AO6" s="17"/>
      <c r="AP6" s="17"/>
      <c r="AR6" s="16"/>
      <c r="AW6" t="s">
        <v>206</v>
      </c>
    </row>
    <row r="7" spans="2:49" x14ac:dyDescent="0.25">
      <c r="B7">
        <v>-7</v>
      </c>
      <c r="C7" t="s">
        <v>6</v>
      </c>
      <c r="D7" s="1">
        <f t="shared" si="1"/>
        <v>323</v>
      </c>
      <c r="E7" s="2">
        <v>44</v>
      </c>
      <c r="F7" s="3">
        <v>62</v>
      </c>
      <c r="G7" s="4">
        <v>46</v>
      </c>
      <c r="H7" s="5">
        <v>54</v>
      </c>
      <c r="I7" s="4">
        <v>55</v>
      </c>
      <c r="J7" s="6">
        <v>62</v>
      </c>
      <c r="K7">
        <v>323</v>
      </c>
      <c r="M7">
        <v>24</v>
      </c>
      <c r="N7" s="22">
        <f t="shared" si="0"/>
        <v>0.10169491525423729</v>
      </c>
      <c r="O7" s="10" t="s">
        <v>190</v>
      </c>
      <c r="P7" s="10" t="s">
        <v>186</v>
      </c>
      <c r="U7" t="s">
        <v>139</v>
      </c>
      <c r="V7" s="8"/>
      <c r="X7" t="s">
        <v>152</v>
      </c>
      <c r="Y7">
        <v>6</v>
      </c>
      <c r="AA7" t="s">
        <v>184</v>
      </c>
      <c r="AC7" s="17"/>
      <c r="AD7" s="17"/>
      <c r="AE7" s="16"/>
      <c r="AG7" s="17"/>
      <c r="AJ7" s="16"/>
      <c r="AK7" s="16"/>
      <c r="AP7" s="16"/>
      <c r="AR7" s="17"/>
      <c r="AW7" t="s">
        <v>178</v>
      </c>
    </row>
    <row r="8" spans="2:49" x14ac:dyDescent="0.25">
      <c r="B8">
        <v>-8</v>
      </c>
      <c r="C8" t="s">
        <v>7</v>
      </c>
      <c r="D8" s="1">
        <f t="shared" si="1"/>
        <v>395</v>
      </c>
      <c r="E8" s="2">
        <v>65</v>
      </c>
      <c r="F8" s="3">
        <v>79</v>
      </c>
      <c r="G8" s="4">
        <v>53</v>
      </c>
      <c r="H8" s="5">
        <v>55</v>
      </c>
      <c r="I8" s="4">
        <v>65</v>
      </c>
      <c r="J8" s="6">
        <v>78</v>
      </c>
      <c r="K8">
        <v>395</v>
      </c>
      <c r="M8">
        <v>23</v>
      </c>
      <c r="N8" s="22">
        <f t="shared" si="0"/>
        <v>9.7457627118644072E-2</v>
      </c>
      <c r="O8" s="10" t="s">
        <v>180</v>
      </c>
      <c r="P8" s="10" t="s">
        <v>188</v>
      </c>
      <c r="U8" t="s">
        <v>140</v>
      </c>
      <c r="V8" s="8"/>
      <c r="X8" t="s">
        <v>153</v>
      </c>
      <c r="Y8">
        <v>7</v>
      </c>
      <c r="AA8" t="s">
        <v>186</v>
      </c>
      <c r="AB8" s="16"/>
      <c r="AG8" s="16"/>
      <c r="AI8" s="17"/>
      <c r="AK8" s="17"/>
      <c r="AL8" s="17"/>
      <c r="AM8" s="17"/>
      <c r="AN8" s="16"/>
      <c r="AO8" s="18"/>
      <c r="AQ8" s="16"/>
      <c r="AR8" s="16"/>
      <c r="AT8" s="17"/>
      <c r="AU8" s="17"/>
      <c r="AW8" t="s">
        <v>190</v>
      </c>
    </row>
    <row r="9" spans="2:49" x14ac:dyDescent="0.25">
      <c r="B9">
        <v>-9</v>
      </c>
      <c r="C9" t="s">
        <v>8</v>
      </c>
      <c r="D9" s="1">
        <f t="shared" si="1"/>
        <v>531</v>
      </c>
      <c r="E9" s="2">
        <v>76</v>
      </c>
      <c r="F9" s="3">
        <v>81</v>
      </c>
      <c r="G9" s="4">
        <v>65</v>
      </c>
      <c r="H9" s="5">
        <v>106</v>
      </c>
      <c r="I9" s="4">
        <v>95</v>
      </c>
      <c r="J9" s="6">
        <v>108</v>
      </c>
      <c r="K9">
        <v>531</v>
      </c>
      <c r="M9">
        <v>23</v>
      </c>
      <c r="N9" s="22">
        <f t="shared" si="0"/>
        <v>9.7457627118644072E-2</v>
      </c>
      <c r="O9" s="10" t="s">
        <v>204</v>
      </c>
      <c r="P9" s="10" t="s">
        <v>190</v>
      </c>
      <c r="U9" t="s">
        <v>141</v>
      </c>
      <c r="V9" s="8">
        <v>36</v>
      </c>
      <c r="X9" t="s">
        <v>154</v>
      </c>
      <c r="Y9">
        <v>8</v>
      </c>
      <c r="AA9" t="s">
        <v>188</v>
      </c>
      <c r="AD9" s="16"/>
      <c r="AE9" s="16"/>
      <c r="AI9" s="17"/>
      <c r="AJ9" s="17"/>
      <c r="AN9" s="17"/>
      <c r="AO9" s="17"/>
      <c r="AR9" s="18"/>
      <c r="AT9" s="16"/>
      <c r="AW9" t="s">
        <v>176</v>
      </c>
    </row>
    <row r="10" spans="2:49" x14ac:dyDescent="0.25">
      <c r="B10">
        <v>-10</v>
      </c>
      <c r="C10" t="s">
        <v>9</v>
      </c>
      <c r="D10" s="1">
        <f t="shared" si="1"/>
        <v>290</v>
      </c>
      <c r="E10" s="2">
        <v>36</v>
      </c>
      <c r="F10" s="3">
        <v>63</v>
      </c>
      <c r="G10" s="4">
        <v>47</v>
      </c>
      <c r="H10" s="5">
        <v>24</v>
      </c>
      <c r="I10" s="4">
        <v>62</v>
      </c>
      <c r="J10" s="6">
        <v>58</v>
      </c>
      <c r="K10">
        <v>290</v>
      </c>
      <c r="M10">
        <v>22</v>
      </c>
      <c r="N10" s="22">
        <f t="shared" si="0"/>
        <v>9.3220338983050849E-2</v>
      </c>
      <c r="O10" s="10" t="s">
        <v>210</v>
      </c>
      <c r="P10" s="10" t="s">
        <v>192</v>
      </c>
      <c r="U10" t="s">
        <v>142</v>
      </c>
      <c r="V10" s="8">
        <v>15</v>
      </c>
      <c r="AA10" t="s">
        <v>190</v>
      </c>
      <c r="AC10" s="16"/>
      <c r="AE10" s="17"/>
      <c r="AF10" s="16"/>
      <c r="AI10" s="16"/>
      <c r="AK10" s="18"/>
      <c r="AM10" s="17"/>
      <c r="AN10" s="16"/>
      <c r="AR10" s="16"/>
      <c r="AU10" s="17"/>
      <c r="AW10" t="s">
        <v>180</v>
      </c>
    </row>
    <row r="11" spans="2:49" x14ac:dyDescent="0.25">
      <c r="B11">
        <v>-11</v>
      </c>
      <c r="C11" t="s">
        <v>10</v>
      </c>
      <c r="D11" s="1">
        <f t="shared" si="1"/>
        <v>420</v>
      </c>
      <c r="E11" s="2">
        <v>50</v>
      </c>
      <c r="F11" s="3">
        <v>105</v>
      </c>
      <c r="G11" s="4">
        <v>50</v>
      </c>
      <c r="H11" s="5">
        <v>54</v>
      </c>
      <c r="I11" s="4">
        <v>56</v>
      </c>
      <c r="J11" s="6">
        <v>105</v>
      </c>
      <c r="K11">
        <v>420</v>
      </c>
      <c r="M11">
        <v>20</v>
      </c>
      <c r="N11" s="22">
        <f t="shared" si="0"/>
        <v>8.4745762711864403E-2</v>
      </c>
      <c r="O11" s="10" t="s">
        <v>192</v>
      </c>
      <c r="P11" s="10" t="s">
        <v>194</v>
      </c>
      <c r="U11" t="s">
        <v>143</v>
      </c>
      <c r="V11" s="8"/>
      <c r="AA11" t="s">
        <v>192</v>
      </c>
      <c r="AE11" s="16"/>
      <c r="AF11" s="17"/>
      <c r="AG11" s="17"/>
      <c r="AH11" s="16"/>
      <c r="AM11" s="16"/>
      <c r="AN11" s="17"/>
      <c r="AR11" s="17"/>
      <c r="AU11" s="16"/>
      <c r="AW11" t="s">
        <v>204</v>
      </c>
    </row>
    <row r="12" spans="2:49" x14ac:dyDescent="0.25">
      <c r="B12">
        <v>-12</v>
      </c>
      <c r="C12" t="s">
        <v>11</v>
      </c>
      <c r="D12" s="1">
        <f t="shared" si="1"/>
        <v>405</v>
      </c>
      <c r="E12" s="2">
        <v>65</v>
      </c>
      <c r="F12" s="3">
        <v>105</v>
      </c>
      <c r="G12" s="4">
        <v>100</v>
      </c>
      <c r="H12" s="5">
        <v>50</v>
      </c>
      <c r="I12" s="4">
        <v>30</v>
      </c>
      <c r="J12" s="6">
        <v>55</v>
      </c>
      <c r="K12">
        <v>405</v>
      </c>
      <c r="M12">
        <v>20</v>
      </c>
      <c r="N12" s="22">
        <f t="shared" si="0"/>
        <v>8.4745762711864403E-2</v>
      </c>
      <c r="O12" s="10" t="s">
        <v>194</v>
      </c>
      <c r="P12" s="10" t="s">
        <v>196</v>
      </c>
      <c r="U12" t="s">
        <v>145</v>
      </c>
      <c r="V12" s="8" t="s">
        <v>163</v>
      </c>
      <c r="AA12" t="s">
        <v>194</v>
      </c>
      <c r="AH12" s="16"/>
      <c r="AI12" s="16"/>
      <c r="AL12" s="17"/>
      <c r="AQ12" s="18"/>
      <c r="AT12" s="17"/>
      <c r="AW12" t="s">
        <v>200</v>
      </c>
    </row>
    <row r="13" spans="2:49" x14ac:dyDescent="0.25">
      <c r="B13">
        <v>-13</v>
      </c>
      <c r="C13" t="s">
        <v>12</v>
      </c>
      <c r="D13" s="1">
        <f t="shared" si="1"/>
        <v>515</v>
      </c>
      <c r="E13" s="2">
        <v>120</v>
      </c>
      <c r="F13" s="3">
        <v>125</v>
      </c>
      <c r="G13" s="4">
        <v>120</v>
      </c>
      <c r="H13" s="5">
        <v>60</v>
      </c>
      <c r="I13" s="4">
        <v>35</v>
      </c>
      <c r="J13" s="6">
        <v>55</v>
      </c>
      <c r="K13">
        <v>515</v>
      </c>
      <c r="M13">
        <v>20</v>
      </c>
      <c r="N13" s="22">
        <f t="shared" si="0"/>
        <v>8.4745762711864403E-2</v>
      </c>
      <c r="O13" s="10" t="s">
        <v>196</v>
      </c>
      <c r="P13" t="s">
        <v>198</v>
      </c>
      <c r="U13" t="s">
        <v>157</v>
      </c>
      <c r="V13" s="8">
        <v>1</v>
      </c>
      <c r="AA13" t="s">
        <v>196</v>
      </c>
      <c r="AC13" s="17"/>
      <c r="AE13" s="16"/>
      <c r="AH13" s="17"/>
      <c r="AI13" s="17"/>
      <c r="AK13" s="17"/>
      <c r="AL13" s="16"/>
      <c r="AO13" s="17"/>
      <c r="AQ13" s="16"/>
      <c r="AR13" s="17"/>
      <c r="AS13" s="16"/>
      <c r="AU13" s="17"/>
      <c r="AW13" t="s">
        <v>196</v>
      </c>
    </row>
    <row r="14" spans="2:49" x14ac:dyDescent="0.25">
      <c r="B14">
        <v>-14</v>
      </c>
      <c r="C14" t="s">
        <v>13</v>
      </c>
      <c r="D14" s="1">
        <f t="shared" si="1"/>
        <v>305</v>
      </c>
      <c r="E14" s="2">
        <v>50</v>
      </c>
      <c r="F14" s="3">
        <v>63</v>
      </c>
      <c r="G14" s="4">
        <v>41</v>
      </c>
      <c r="H14" s="5">
        <v>22</v>
      </c>
      <c r="I14" s="4">
        <v>63</v>
      </c>
      <c r="J14" s="6">
        <v>66</v>
      </c>
      <c r="K14">
        <v>305</v>
      </c>
      <c r="M14">
        <v>19</v>
      </c>
      <c r="N14" s="22">
        <f t="shared" si="0"/>
        <v>8.050847457627118E-2</v>
      </c>
      <c r="O14" s="10" t="s">
        <v>200</v>
      </c>
      <c r="P14" s="10" t="s">
        <v>200</v>
      </c>
      <c r="AA14" t="s">
        <v>198</v>
      </c>
      <c r="AC14" s="16"/>
      <c r="AG14" s="16"/>
      <c r="AH14" s="17"/>
      <c r="AJ14" s="17"/>
      <c r="AK14" s="16"/>
      <c r="AM14" s="16"/>
      <c r="AR14" s="17"/>
      <c r="AU14" s="16"/>
      <c r="AW14" t="s">
        <v>184</v>
      </c>
    </row>
    <row r="15" spans="2:49" x14ac:dyDescent="0.25">
      <c r="B15">
        <v>-15</v>
      </c>
      <c r="C15" t="s">
        <v>14</v>
      </c>
      <c r="D15" s="1">
        <f t="shared" si="1"/>
        <v>405</v>
      </c>
      <c r="E15" s="2">
        <v>65</v>
      </c>
      <c r="F15" s="3">
        <v>89</v>
      </c>
      <c r="G15" s="4">
        <v>55</v>
      </c>
      <c r="H15" s="5">
        <v>25</v>
      </c>
      <c r="I15" s="4">
        <v>76</v>
      </c>
      <c r="J15" s="6">
        <v>95</v>
      </c>
      <c r="K15">
        <v>405</v>
      </c>
      <c r="M15">
        <v>19</v>
      </c>
      <c r="N15" s="22">
        <f t="shared" si="0"/>
        <v>8.050847457627118E-2</v>
      </c>
      <c r="O15" s="10" t="s">
        <v>202</v>
      </c>
      <c r="P15" s="10" t="s">
        <v>202</v>
      </c>
      <c r="AA15" t="s">
        <v>200</v>
      </c>
      <c r="AB15" s="18"/>
      <c r="AF15" s="16"/>
      <c r="AL15" s="16"/>
      <c r="AO15" s="16"/>
      <c r="AQ15" s="17"/>
      <c r="AS15" s="17"/>
      <c r="AW15" t="s">
        <v>210</v>
      </c>
    </row>
    <row r="16" spans="2:49" x14ac:dyDescent="0.25">
      <c r="B16">
        <v>-16</v>
      </c>
      <c r="C16" t="s">
        <v>15</v>
      </c>
      <c r="D16" s="1">
        <f t="shared" si="1"/>
        <v>350</v>
      </c>
      <c r="E16" s="2">
        <v>99</v>
      </c>
      <c r="F16" s="3">
        <v>61</v>
      </c>
      <c r="G16" s="4">
        <v>51</v>
      </c>
      <c r="H16" s="5">
        <v>40</v>
      </c>
      <c r="I16" s="4">
        <v>79</v>
      </c>
      <c r="J16" s="6">
        <v>20</v>
      </c>
      <c r="K16">
        <v>350</v>
      </c>
      <c r="M16">
        <v>18</v>
      </c>
      <c r="N16" s="22">
        <f t="shared" si="0"/>
        <v>7.6271186440677971E-2</v>
      </c>
      <c r="O16" s="10" t="s">
        <v>212</v>
      </c>
      <c r="P16" s="10" t="s">
        <v>204</v>
      </c>
      <c r="AA16" t="s">
        <v>202</v>
      </c>
      <c r="AP16" s="16"/>
      <c r="AR16" s="17"/>
      <c r="AT16" s="18"/>
      <c r="AW16" t="s">
        <v>182</v>
      </c>
    </row>
    <row r="17" spans="2:49" x14ac:dyDescent="0.25">
      <c r="B17">
        <v>-17</v>
      </c>
      <c r="C17" t="s">
        <v>16</v>
      </c>
      <c r="D17" s="1">
        <f t="shared" si="1"/>
        <v>490</v>
      </c>
      <c r="E17" s="2">
        <v>170</v>
      </c>
      <c r="F17" s="3">
        <v>64</v>
      </c>
      <c r="G17" s="4">
        <v>55</v>
      </c>
      <c r="H17" s="5">
        <v>43</v>
      </c>
      <c r="I17" s="4">
        <v>103</v>
      </c>
      <c r="J17" s="6">
        <v>55</v>
      </c>
      <c r="K17">
        <v>490</v>
      </c>
      <c r="M17">
        <v>16</v>
      </c>
      <c r="N17" s="22">
        <f t="shared" si="0"/>
        <v>6.7796610169491525E-2</v>
      </c>
      <c r="O17" s="10" t="s">
        <v>175</v>
      </c>
      <c r="P17" s="10" t="s">
        <v>206</v>
      </c>
      <c r="U17" t="s">
        <v>175</v>
      </c>
      <c r="X17" s="10" t="s">
        <v>175</v>
      </c>
      <c r="AA17" t="s">
        <v>204</v>
      </c>
      <c r="AH17" s="17"/>
      <c r="AL17" s="16"/>
      <c r="AO17" s="16"/>
      <c r="AQ17" s="17"/>
      <c r="AS17" s="17"/>
      <c r="AW17" t="s">
        <v>186</v>
      </c>
    </row>
    <row r="18" spans="2:49" x14ac:dyDescent="0.25">
      <c r="B18">
        <v>-18</v>
      </c>
      <c r="C18" t="s">
        <v>17</v>
      </c>
      <c r="D18" s="1">
        <f t="shared" si="1"/>
        <v>325</v>
      </c>
      <c r="E18" s="2">
        <v>68</v>
      </c>
      <c r="F18" s="3">
        <v>72</v>
      </c>
      <c r="G18" s="4">
        <v>122</v>
      </c>
      <c r="H18" s="5">
        <v>20</v>
      </c>
      <c r="I18" s="4">
        <v>25</v>
      </c>
      <c r="J18" s="6">
        <v>18</v>
      </c>
      <c r="K18">
        <v>325</v>
      </c>
      <c r="M18">
        <v>15</v>
      </c>
      <c r="N18" s="22">
        <f t="shared" si="0"/>
        <v>6.3559322033898302E-2</v>
      </c>
      <c r="O18" s="10" t="s">
        <v>184</v>
      </c>
      <c r="P18" s="10" t="s">
        <v>208</v>
      </c>
      <c r="Q18" t="s">
        <v>738</v>
      </c>
      <c r="U18" t="s">
        <v>176</v>
      </c>
      <c r="X18" s="10" t="s">
        <v>177</v>
      </c>
      <c r="AA18" t="s">
        <v>206</v>
      </c>
      <c r="AC18" s="17"/>
      <c r="AD18" s="17"/>
      <c r="AF18" s="17"/>
      <c r="AG18" s="16"/>
      <c r="AN18" s="16"/>
      <c r="AR18" s="17"/>
      <c r="AS18" s="16"/>
      <c r="AT18" s="17"/>
      <c r="AW18" t="s">
        <v>208</v>
      </c>
    </row>
    <row r="19" spans="2:49" x14ac:dyDescent="0.25">
      <c r="B19">
        <v>-19</v>
      </c>
      <c r="C19" t="s">
        <v>18</v>
      </c>
      <c r="D19" s="1">
        <f t="shared" si="1"/>
        <v>425</v>
      </c>
      <c r="E19" s="2">
        <v>87</v>
      </c>
      <c r="F19" s="3">
        <v>95</v>
      </c>
      <c r="G19" s="4">
        <v>143</v>
      </c>
      <c r="H19" s="5">
        <v>25</v>
      </c>
      <c r="I19" s="4">
        <v>30</v>
      </c>
      <c r="J19" s="6">
        <v>45</v>
      </c>
      <c r="K19">
        <v>425</v>
      </c>
      <c r="M19">
        <v>13</v>
      </c>
      <c r="N19" s="22">
        <f t="shared" si="0"/>
        <v>5.5084745762711863E-2</v>
      </c>
      <c r="O19" s="10" t="s">
        <v>188</v>
      </c>
      <c r="P19" s="10" t="s">
        <v>210</v>
      </c>
      <c r="U19" t="s">
        <v>178</v>
      </c>
      <c r="X19" s="10" t="s">
        <v>179</v>
      </c>
      <c r="AA19" t="s">
        <v>208</v>
      </c>
      <c r="AC19" s="17"/>
      <c r="AE19" s="18"/>
      <c r="AG19" s="16"/>
      <c r="AM19" s="17"/>
      <c r="AO19" s="16"/>
      <c r="AQ19" s="16"/>
      <c r="AR19" s="17"/>
      <c r="AS19" s="17"/>
      <c r="AU19" s="16"/>
      <c r="AW19" t="s">
        <v>175</v>
      </c>
    </row>
    <row r="20" spans="2:49" x14ac:dyDescent="0.25">
      <c r="B20">
        <v>-20</v>
      </c>
      <c r="C20" t="s">
        <v>19</v>
      </c>
      <c r="D20" s="1">
        <f t="shared" si="1"/>
        <v>525</v>
      </c>
      <c r="E20" s="2">
        <v>90</v>
      </c>
      <c r="F20" s="3">
        <v>100</v>
      </c>
      <c r="G20" s="4">
        <v>143</v>
      </c>
      <c r="H20" s="5">
        <v>100</v>
      </c>
      <c r="I20" s="4">
        <v>42</v>
      </c>
      <c r="J20" s="6">
        <v>50</v>
      </c>
      <c r="K20">
        <v>525</v>
      </c>
      <c r="M20">
        <v>13</v>
      </c>
      <c r="N20" s="22">
        <f t="shared" si="0"/>
        <v>5.5084745762711863E-2</v>
      </c>
      <c r="O20" s="10" t="s">
        <v>206</v>
      </c>
      <c r="P20" s="10" t="s">
        <v>212</v>
      </c>
      <c r="U20" t="s">
        <v>180</v>
      </c>
      <c r="X20" t="s">
        <v>181</v>
      </c>
      <c r="AA20" t="s">
        <v>210</v>
      </c>
      <c r="AB20" s="16"/>
      <c r="AH20" s="17"/>
      <c r="AI20" s="17"/>
      <c r="AP20" s="16"/>
      <c r="AR20" s="16"/>
      <c r="AT20" s="17"/>
      <c r="AW20" t="s">
        <v>202</v>
      </c>
    </row>
    <row r="21" spans="2:49" x14ac:dyDescent="0.25">
      <c r="B21">
        <v>-21</v>
      </c>
      <c r="C21" t="s">
        <v>20</v>
      </c>
      <c r="D21" s="1">
        <f t="shared" si="1"/>
        <v>345</v>
      </c>
      <c r="E21" s="2">
        <v>45</v>
      </c>
      <c r="F21" s="3">
        <v>40</v>
      </c>
      <c r="G21" s="4">
        <v>105</v>
      </c>
      <c r="H21" s="5">
        <v>40</v>
      </c>
      <c r="I21" s="4">
        <v>75</v>
      </c>
      <c r="J21" s="6">
        <v>40</v>
      </c>
      <c r="K21">
        <v>345</v>
      </c>
      <c r="M21">
        <v>41</v>
      </c>
      <c r="N21" s="22"/>
      <c r="U21" t="s">
        <v>182</v>
      </c>
      <c r="X21" s="10" t="s">
        <v>183</v>
      </c>
      <c r="AA21" t="s">
        <v>212</v>
      </c>
      <c r="AC21" s="16"/>
      <c r="AG21" s="17"/>
      <c r="AH21" s="16"/>
      <c r="AJ21" s="16"/>
      <c r="AN21" s="17"/>
      <c r="AR21" s="17"/>
      <c r="AS21" s="17"/>
      <c r="AW21" t="s">
        <v>194</v>
      </c>
    </row>
    <row r="22" spans="2:49" x14ac:dyDescent="0.25">
      <c r="B22">
        <v>-22</v>
      </c>
      <c r="C22" t="s">
        <v>21</v>
      </c>
      <c r="D22" s="1">
        <f t="shared" si="1"/>
        <v>412</v>
      </c>
      <c r="E22" s="2">
        <v>81</v>
      </c>
      <c r="F22" s="3">
        <v>66</v>
      </c>
      <c r="G22" s="4">
        <v>105</v>
      </c>
      <c r="H22" s="5">
        <v>40</v>
      </c>
      <c r="I22" s="4">
        <v>75</v>
      </c>
      <c r="J22" s="6">
        <v>45</v>
      </c>
      <c r="K22">
        <v>412</v>
      </c>
      <c r="N22" s="22"/>
      <c r="O22" t="s">
        <v>719</v>
      </c>
      <c r="P22" t="s">
        <v>198</v>
      </c>
      <c r="Q22" t="s">
        <v>190</v>
      </c>
      <c r="U22" t="s">
        <v>184</v>
      </c>
      <c r="X22" t="s">
        <v>185</v>
      </c>
    </row>
    <row r="23" spans="2:49" x14ac:dyDescent="0.25">
      <c r="B23">
        <v>-23</v>
      </c>
      <c r="C23" t="s">
        <v>22</v>
      </c>
      <c r="D23" s="1">
        <f t="shared" si="1"/>
        <v>530</v>
      </c>
      <c r="E23" s="2">
        <v>100</v>
      </c>
      <c r="F23" s="3">
        <v>110</v>
      </c>
      <c r="G23" s="4">
        <v>105</v>
      </c>
      <c r="H23" s="5">
        <v>44</v>
      </c>
      <c r="I23" s="4">
        <v>78</v>
      </c>
      <c r="J23" s="6">
        <v>93</v>
      </c>
      <c r="K23">
        <v>530</v>
      </c>
      <c r="O23" t="s">
        <v>720</v>
      </c>
      <c r="P23" t="s">
        <v>180</v>
      </c>
      <c r="Q23" t="s">
        <v>188</v>
      </c>
      <c r="U23" t="s">
        <v>186</v>
      </c>
      <c r="X23" s="10" t="s">
        <v>187</v>
      </c>
    </row>
    <row r="24" spans="2:49" x14ac:dyDescent="0.25">
      <c r="B24">
        <v>-24</v>
      </c>
      <c r="C24" t="s">
        <v>23</v>
      </c>
      <c r="D24" s="1">
        <f t="shared" si="1"/>
        <v>350</v>
      </c>
      <c r="E24" s="2">
        <v>35</v>
      </c>
      <c r="F24" s="3">
        <v>103</v>
      </c>
      <c r="G24" s="4">
        <v>62</v>
      </c>
      <c r="H24" s="5">
        <v>25</v>
      </c>
      <c r="I24" s="4">
        <v>30</v>
      </c>
      <c r="J24" s="6">
        <v>95</v>
      </c>
      <c r="K24">
        <v>350</v>
      </c>
      <c r="O24" t="s">
        <v>721</v>
      </c>
      <c r="P24" t="s">
        <v>200</v>
      </c>
      <c r="Q24" t="s">
        <v>206</v>
      </c>
      <c r="U24" t="s">
        <v>188</v>
      </c>
      <c r="X24" t="s">
        <v>189</v>
      </c>
    </row>
    <row r="25" spans="2:49" x14ac:dyDescent="0.25">
      <c r="B25">
        <v>-25</v>
      </c>
      <c r="C25" t="s">
        <v>24</v>
      </c>
      <c r="D25" s="1">
        <f t="shared" si="1"/>
        <v>455</v>
      </c>
      <c r="E25" s="2">
        <v>60</v>
      </c>
      <c r="F25" s="3">
        <v>80</v>
      </c>
      <c r="G25" s="4">
        <v>65</v>
      </c>
      <c r="H25" s="5">
        <v>80</v>
      </c>
      <c r="I25" s="4">
        <v>70</v>
      </c>
      <c r="J25" s="6">
        <v>100</v>
      </c>
      <c r="K25">
        <v>455</v>
      </c>
      <c r="O25" t="s">
        <v>714</v>
      </c>
      <c r="P25" t="s">
        <v>182</v>
      </c>
      <c r="Q25" t="s">
        <v>186</v>
      </c>
      <c r="U25" t="s">
        <v>190</v>
      </c>
      <c r="X25" t="s">
        <v>191</v>
      </c>
    </row>
    <row r="26" spans="2:49" x14ac:dyDescent="0.25">
      <c r="B26">
        <v>-26</v>
      </c>
      <c r="C26" t="s">
        <v>25</v>
      </c>
      <c r="D26" s="1">
        <f t="shared" si="1"/>
        <v>318</v>
      </c>
      <c r="E26" s="2">
        <v>68</v>
      </c>
      <c r="F26" s="3">
        <v>35</v>
      </c>
      <c r="G26" s="4">
        <v>66</v>
      </c>
      <c r="H26" s="5">
        <v>45</v>
      </c>
      <c r="I26" s="4">
        <v>60</v>
      </c>
      <c r="J26" s="6">
        <v>44</v>
      </c>
      <c r="K26">
        <v>318</v>
      </c>
      <c r="O26" t="s">
        <v>715</v>
      </c>
      <c r="P26" t="s">
        <v>178</v>
      </c>
      <c r="U26" t="s">
        <v>192</v>
      </c>
      <c r="X26" s="10" t="s">
        <v>193</v>
      </c>
    </row>
    <row r="27" spans="2:49" x14ac:dyDescent="0.25">
      <c r="B27">
        <v>-27</v>
      </c>
      <c r="C27" t="s">
        <v>26</v>
      </c>
      <c r="D27" s="1">
        <f t="shared" si="1"/>
        <v>400</v>
      </c>
      <c r="E27" s="2">
        <v>70</v>
      </c>
      <c r="F27" s="3">
        <v>40</v>
      </c>
      <c r="G27" s="4">
        <v>67</v>
      </c>
      <c r="H27" s="5">
        <v>73</v>
      </c>
      <c r="I27" s="4">
        <v>70</v>
      </c>
      <c r="J27" s="6">
        <v>80</v>
      </c>
      <c r="K27">
        <v>400</v>
      </c>
      <c r="O27" t="s">
        <v>718</v>
      </c>
      <c r="P27" t="s">
        <v>204</v>
      </c>
      <c r="U27" t="s">
        <v>194</v>
      </c>
      <c r="X27" t="s">
        <v>195</v>
      </c>
    </row>
    <row r="28" spans="2:49" x14ac:dyDescent="0.25">
      <c r="B28">
        <v>-28</v>
      </c>
      <c r="C28" t="s">
        <v>27</v>
      </c>
      <c r="D28" s="1">
        <f t="shared" si="1"/>
        <v>495</v>
      </c>
      <c r="E28" s="2">
        <v>72</v>
      </c>
      <c r="F28" s="3">
        <v>91</v>
      </c>
      <c r="G28" s="4">
        <v>53</v>
      </c>
      <c r="H28" s="5">
        <v>80</v>
      </c>
      <c r="I28" s="4">
        <v>75</v>
      </c>
      <c r="J28" s="6">
        <v>124</v>
      </c>
      <c r="K28">
        <v>495</v>
      </c>
      <c r="O28" t="s">
        <v>717</v>
      </c>
      <c r="P28" t="s">
        <v>176</v>
      </c>
      <c r="U28" t="s">
        <v>196</v>
      </c>
      <c r="X28" t="s">
        <v>197</v>
      </c>
    </row>
    <row r="29" spans="2:49" x14ac:dyDescent="0.25">
      <c r="B29">
        <v>-29</v>
      </c>
      <c r="C29" t="s">
        <v>28</v>
      </c>
      <c r="D29" s="1">
        <f t="shared" si="1"/>
        <v>312</v>
      </c>
      <c r="E29" s="2">
        <v>30</v>
      </c>
      <c r="F29" s="3">
        <v>36</v>
      </c>
      <c r="G29" s="4">
        <v>64</v>
      </c>
      <c r="H29" s="5">
        <v>40</v>
      </c>
      <c r="I29" s="4">
        <v>70</v>
      </c>
      <c r="J29" s="6">
        <v>72</v>
      </c>
      <c r="K29">
        <v>312</v>
      </c>
      <c r="O29" t="s">
        <v>716</v>
      </c>
      <c r="P29" t="s">
        <v>202</v>
      </c>
      <c r="U29" t="s">
        <v>198</v>
      </c>
      <c r="X29" s="10" t="s">
        <v>199</v>
      </c>
      <c r="Z29" t="s">
        <v>1087</v>
      </c>
      <c r="AA29" t="s">
        <v>1083</v>
      </c>
      <c r="AB29" t="s">
        <v>1084</v>
      </c>
      <c r="AC29" s="35" t="s">
        <v>1085</v>
      </c>
      <c r="AD29" s="36" t="s">
        <v>583</v>
      </c>
      <c r="AF29" t="s">
        <v>1087</v>
      </c>
      <c r="AG29" t="s">
        <v>1089</v>
      </c>
      <c r="AH29" t="s">
        <v>1079</v>
      </c>
      <c r="AI29" t="s">
        <v>1090</v>
      </c>
      <c r="AK29" t="s">
        <v>1466</v>
      </c>
      <c r="AL29" t="s">
        <v>870</v>
      </c>
      <c r="AM29" t="s">
        <v>1079</v>
      </c>
      <c r="AN29" t="s">
        <v>1492</v>
      </c>
    </row>
    <row r="30" spans="2:49" x14ac:dyDescent="0.25">
      <c r="B30">
        <v>-30</v>
      </c>
      <c r="C30" t="s">
        <v>29</v>
      </c>
      <c r="D30" s="1">
        <f t="shared" si="1"/>
        <v>437</v>
      </c>
      <c r="E30" s="2">
        <v>60</v>
      </c>
      <c r="F30" s="3">
        <v>65</v>
      </c>
      <c r="G30" s="4">
        <v>125</v>
      </c>
      <c r="H30" s="5">
        <v>45</v>
      </c>
      <c r="I30" s="4">
        <v>68</v>
      </c>
      <c r="J30" s="6">
        <v>74</v>
      </c>
      <c r="K30">
        <v>437</v>
      </c>
      <c r="U30" t="s">
        <v>200</v>
      </c>
      <c r="X30" t="s">
        <v>201</v>
      </c>
      <c r="Z30">
        <v>1</v>
      </c>
      <c r="AA30" t="s">
        <v>389</v>
      </c>
      <c r="AB30">
        <v>0</v>
      </c>
      <c r="AC30" s="35">
        <v>0</v>
      </c>
      <c r="AD30" s="36">
        <f t="shared" ref="AD30:AD93" si="2">AC30*AB30</f>
        <v>0</v>
      </c>
      <c r="AF30">
        <v>164</v>
      </c>
      <c r="AG30" t="s">
        <v>516</v>
      </c>
      <c r="AH30">
        <v>0</v>
      </c>
      <c r="AI30" s="35">
        <v>0</v>
      </c>
      <c r="AK30">
        <v>4</v>
      </c>
      <c r="AL30" t="s">
        <v>1508</v>
      </c>
      <c r="AM30">
        <v>0</v>
      </c>
    </row>
    <row r="31" spans="2:49" x14ac:dyDescent="0.25">
      <c r="B31">
        <v>-31</v>
      </c>
      <c r="C31" t="s">
        <v>30</v>
      </c>
      <c r="D31" s="1">
        <f t="shared" si="1"/>
        <v>460</v>
      </c>
      <c r="E31" s="2">
        <v>75</v>
      </c>
      <c r="F31" s="3">
        <v>96</v>
      </c>
      <c r="G31" s="4">
        <v>80</v>
      </c>
      <c r="H31" s="5">
        <v>65</v>
      </c>
      <c r="I31" s="4">
        <v>70</v>
      </c>
      <c r="J31" s="6">
        <v>74</v>
      </c>
      <c r="K31">
        <v>460</v>
      </c>
      <c r="N31">
        <v>3</v>
      </c>
      <c r="O31">
        <v>2</v>
      </c>
      <c r="P31">
        <v>4</v>
      </c>
      <c r="Q31">
        <v>1</v>
      </c>
      <c r="U31" t="s">
        <v>202</v>
      </c>
      <c r="X31" t="s">
        <v>203</v>
      </c>
      <c r="Z31">
        <v>2</v>
      </c>
      <c r="AA31" t="s">
        <v>390</v>
      </c>
      <c r="AB31">
        <v>0</v>
      </c>
      <c r="AC31" s="35">
        <v>0</v>
      </c>
      <c r="AD31" s="36">
        <f t="shared" si="2"/>
        <v>0</v>
      </c>
      <c r="AF31">
        <v>237</v>
      </c>
      <c r="AG31" t="s">
        <v>573</v>
      </c>
      <c r="AH31">
        <v>0</v>
      </c>
      <c r="AI31" s="35">
        <v>0</v>
      </c>
      <c r="AK31">
        <v>5</v>
      </c>
      <c r="AL31" t="s">
        <v>1628</v>
      </c>
      <c r="AM31">
        <v>0</v>
      </c>
    </row>
    <row r="32" spans="2:49" x14ac:dyDescent="0.25">
      <c r="B32">
        <v>-32</v>
      </c>
      <c r="C32" t="s">
        <v>31</v>
      </c>
      <c r="D32" s="1">
        <f t="shared" si="1"/>
        <v>440</v>
      </c>
      <c r="E32" s="2">
        <v>90</v>
      </c>
      <c r="F32" s="3">
        <v>90</v>
      </c>
      <c r="G32" s="4">
        <v>65</v>
      </c>
      <c r="H32" s="5">
        <v>35</v>
      </c>
      <c r="I32" s="4">
        <v>100</v>
      </c>
      <c r="J32" s="6">
        <v>60</v>
      </c>
      <c r="K32">
        <v>440</v>
      </c>
      <c r="N32" s="34" t="s">
        <v>1080</v>
      </c>
      <c r="P32" s="34" t="s">
        <v>1081</v>
      </c>
      <c r="U32" t="s">
        <v>204</v>
      </c>
      <c r="X32" t="s">
        <v>205</v>
      </c>
      <c r="Z32">
        <v>3</v>
      </c>
      <c r="AA32" t="s">
        <v>391</v>
      </c>
      <c r="AB32">
        <v>0</v>
      </c>
      <c r="AC32" s="35">
        <v>0</v>
      </c>
      <c r="AD32" s="36">
        <f t="shared" si="2"/>
        <v>0</v>
      </c>
      <c r="AF32">
        <v>259</v>
      </c>
      <c r="AG32" t="s">
        <v>1137</v>
      </c>
      <c r="AH32">
        <v>0</v>
      </c>
      <c r="AI32" s="35">
        <v>0</v>
      </c>
      <c r="AK32">
        <v>6</v>
      </c>
      <c r="AL32" t="s">
        <v>1509</v>
      </c>
      <c r="AM32">
        <v>0</v>
      </c>
    </row>
    <row r="33" spans="2:39" x14ac:dyDescent="0.25">
      <c r="B33">
        <v>-33</v>
      </c>
      <c r="C33" t="s">
        <v>32</v>
      </c>
      <c r="D33" s="1">
        <f t="shared" si="1"/>
        <v>310</v>
      </c>
      <c r="E33" s="2">
        <v>40</v>
      </c>
      <c r="F33" s="3">
        <v>64</v>
      </c>
      <c r="G33" s="4">
        <v>78</v>
      </c>
      <c r="H33" s="5">
        <v>35</v>
      </c>
      <c r="I33" s="4">
        <v>56</v>
      </c>
      <c r="J33" s="6">
        <v>37</v>
      </c>
      <c r="K33">
        <v>310</v>
      </c>
      <c r="N33" s="33" t="s">
        <v>190</v>
      </c>
      <c r="O33" s="33" t="s">
        <v>1071</v>
      </c>
      <c r="P33" s="33" t="s">
        <v>206</v>
      </c>
      <c r="Q33" s="33" t="s">
        <v>186</v>
      </c>
      <c r="S33" s="33" t="s">
        <v>1653</v>
      </c>
      <c r="U33" t="s">
        <v>206</v>
      </c>
      <c r="X33" s="10" t="s">
        <v>207</v>
      </c>
      <c r="Y33" t="s">
        <v>90</v>
      </c>
      <c r="Z33">
        <v>4</v>
      </c>
      <c r="AA33" t="s">
        <v>392</v>
      </c>
      <c r="AB33">
        <v>0</v>
      </c>
      <c r="AC33" s="35">
        <v>0</v>
      </c>
      <c r="AD33" s="36">
        <f t="shared" si="2"/>
        <v>0</v>
      </c>
      <c r="AF33">
        <v>270</v>
      </c>
      <c r="AG33" t="s">
        <v>1155</v>
      </c>
      <c r="AH33">
        <v>0</v>
      </c>
      <c r="AI33" s="35">
        <v>0</v>
      </c>
      <c r="AK33">
        <v>7</v>
      </c>
      <c r="AL33" t="s">
        <v>1510</v>
      </c>
      <c r="AM33">
        <v>0</v>
      </c>
    </row>
    <row r="34" spans="2:39" x14ac:dyDescent="0.25">
      <c r="B34">
        <v>-34</v>
      </c>
      <c r="C34" t="s">
        <v>33</v>
      </c>
      <c r="D34" s="1">
        <f t="shared" si="1"/>
        <v>415</v>
      </c>
      <c r="E34" s="2">
        <v>55</v>
      </c>
      <c r="F34" s="3">
        <v>80</v>
      </c>
      <c r="G34" s="4">
        <v>80</v>
      </c>
      <c r="H34" s="5">
        <v>75</v>
      </c>
      <c r="I34" s="4">
        <v>65</v>
      </c>
      <c r="J34" s="6">
        <v>60</v>
      </c>
      <c r="K34">
        <v>415</v>
      </c>
      <c r="N34" t="s">
        <v>1567</v>
      </c>
      <c r="O34" s="10" t="s">
        <v>1100</v>
      </c>
      <c r="P34" t="s">
        <v>1561</v>
      </c>
      <c r="Q34" t="s">
        <v>1562</v>
      </c>
      <c r="S34" t="s">
        <v>1660</v>
      </c>
      <c r="U34" t="s">
        <v>208</v>
      </c>
      <c r="X34" s="10" t="s">
        <v>209</v>
      </c>
      <c r="Z34">
        <v>5</v>
      </c>
      <c r="AA34" t="s">
        <v>393</v>
      </c>
      <c r="AB34">
        <v>0</v>
      </c>
      <c r="AC34" s="35">
        <v>0</v>
      </c>
      <c r="AD34" s="36">
        <f t="shared" si="2"/>
        <v>0</v>
      </c>
      <c r="AF34">
        <v>291</v>
      </c>
      <c r="AG34" t="s">
        <v>1171</v>
      </c>
      <c r="AH34">
        <v>0</v>
      </c>
      <c r="AI34" s="35">
        <v>0</v>
      </c>
      <c r="AK34">
        <v>8</v>
      </c>
      <c r="AL34" t="s">
        <v>1511</v>
      </c>
      <c r="AM34">
        <v>0</v>
      </c>
    </row>
    <row r="35" spans="2:39" x14ac:dyDescent="0.25">
      <c r="B35">
        <v>-35</v>
      </c>
      <c r="C35" t="s">
        <v>34</v>
      </c>
      <c r="D35" s="1">
        <f t="shared" si="1"/>
        <v>400</v>
      </c>
      <c r="E35" s="2">
        <v>55</v>
      </c>
      <c r="F35" s="3">
        <v>87</v>
      </c>
      <c r="G35" s="4">
        <v>71</v>
      </c>
      <c r="H35" s="5">
        <v>63</v>
      </c>
      <c r="I35" s="4">
        <v>60</v>
      </c>
      <c r="J35" s="6">
        <v>64</v>
      </c>
      <c r="K35">
        <v>400</v>
      </c>
      <c r="N35" t="s">
        <v>1664</v>
      </c>
      <c r="O35" t="s">
        <v>1101</v>
      </c>
      <c r="P35" t="s">
        <v>1103</v>
      </c>
      <c r="Q35" t="s">
        <v>1668</v>
      </c>
      <c r="S35" t="s">
        <v>1654</v>
      </c>
      <c r="U35" t="s">
        <v>210</v>
      </c>
      <c r="X35" s="10" t="s">
        <v>211</v>
      </c>
      <c r="Z35">
        <v>6</v>
      </c>
      <c r="AA35" t="s">
        <v>394</v>
      </c>
      <c r="AB35">
        <v>0</v>
      </c>
      <c r="AC35" s="35">
        <v>0</v>
      </c>
      <c r="AD35" s="36">
        <f t="shared" si="2"/>
        <v>0</v>
      </c>
      <c r="AF35">
        <v>117</v>
      </c>
      <c r="AG35" t="s">
        <v>487</v>
      </c>
      <c r="AH35">
        <v>1</v>
      </c>
      <c r="AI35" s="35">
        <v>5.9999999999999995E-4</v>
      </c>
      <c r="AK35">
        <v>10</v>
      </c>
      <c r="AL35" t="s">
        <v>1513</v>
      </c>
      <c r="AM35">
        <v>0</v>
      </c>
    </row>
    <row r="36" spans="2:39" x14ac:dyDescent="0.25">
      <c r="B36">
        <v>-36</v>
      </c>
      <c r="C36" t="s">
        <v>35</v>
      </c>
      <c r="D36" s="1">
        <f t="shared" si="1"/>
        <v>400</v>
      </c>
      <c r="E36" s="2">
        <v>40</v>
      </c>
      <c r="F36" s="3">
        <v>73</v>
      </c>
      <c r="G36" s="4">
        <v>40</v>
      </c>
      <c r="H36" s="5">
        <v>105</v>
      </c>
      <c r="I36" s="4">
        <v>45</v>
      </c>
      <c r="J36" s="6">
        <v>97</v>
      </c>
      <c r="K36">
        <v>400</v>
      </c>
      <c r="N36" t="s">
        <v>1568</v>
      </c>
      <c r="O36" t="s">
        <v>1566</v>
      </c>
      <c r="P36" t="s">
        <v>1104</v>
      </c>
      <c r="Q36" t="s">
        <v>1667</v>
      </c>
      <c r="S36" t="s">
        <v>1655</v>
      </c>
      <c r="U36" t="s">
        <v>212</v>
      </c>
      <c r="X36" s="10" t="s">
        <v>213</v>
      </c>
      <c r="Z36">
        <v>7</v>
      </c>
      <c r="AA36" t="s">
        <v>395</v>
      </c>
      <c r="AB36">
        <v>0</v>
      </c>
      <c r="AC36" s="35">
        <v>0</v>
      </c>
      <c r="AD36" s="36">
        <f t="shared" si="2"/>
        <v>0</v>
      </c>
      <c r="AF36">
        <v>118</v>
      </c>
      <c r="AG36" t="s">
        <v>488</v>
      </c>
      <c r="AH36">
        <v>1</v>
      </c>
      <c r="AI36" s="35">
        <v>5.9999999999999995E-4</v>
      </c>
      <c r="AK36">
        <v>11</v>
      </c>
      <c r="AL36" t="s">
        <v>1514</v>
      </c>
      <c r="AM36">
        <v>0</v>
      </c>
    </row>
    <row r="37" spans="2:39" x14ac:dyDescent="0.25">
      <c r="B37">
        <v>-37</v>
      </c>
      <c r="C37" t="s">
        <v>36</v>
      </c>
      <c r="D37" s="1">
        <f t="shared" si="1"/>
        <v>435</v>
      </c>
      <c r="E37" s="2">
        <v>60</v>
      </c>
      <c r="F37" s="3">
        <v>42</v>
      </c>
      <c r="G37" s="4">
        <v>58</v>
      </c>
      <c r="H37" s="5">
        <v>105</v>
      </c>
      <c r="I37" s="4">
        <v>97</v>
      </c>
      <c r="J37" s="6">
        <v>73</v>
      </c>
      <c r="K37">
        <v>435</v>
      </c>
      <c r="N37" t="s">
        <v>1569</v>
      </c>
      <c r="O37" t="s">
        <v>1102</v>
      </c>
      <c r="P37" t="s">
        <v>1645</v>
      </c>
      <c r="Q37" t="s">
        <v>1669</v>
      </c>
      <c r="S37" t="s">
        <v>1659</v>
      </c>
      <c r="X37" s="11" t="s">
        <v>176</v>
      </c>
      <c r="Z37">
        <v>8</v>
      </c>
      <c r="AA37" t="s">
        <v>396</v>
      </c>
      <c r="AB37">
        <v>0</v>
      </c>
      <c r="AC37" s="35">
        <v>0</v>
      </c>
      <c r="AD37" s="36">
        <f t="shared" si="2"/>
        <v>0</v>
      </c>
      <c r="AF37">
        <v>156</v>
      </c>
      <c r="AG37" t="s">
        <v>37</v>
      </c>
      <c r="AH37">
        <v>1</v>
      </c>
      <c r="AI37" s="35">
        <v>5.9999999999999995E-4</v>
      </c>
      <c r="AK37">
        <v>12</v>
      </c>
      <c r="AL37" t="s">
        <v>1515</v>
      </c>
      <c r="AM37">
        <v>0</v>
      </c>
    </row>
    <row r="38" spans="2:39" x14ac:dyDescent="0.25">
      <c r="B38">
        <v>-38</v>
      </c>
      <c r="C38" t="s">
        <v>37</v>
      </c>
      <c r="D38" s="1">
        <f t="shared" si="1"/>
        <v>400</v>
      </c>
      <c r="E38" s="2">
        <v>55</v>
      </c>
      <c r="F38" s="3">
        <v>75</v>
      </c>
      <c r="G38" s="4">
        <v>80</v>
      </c>
      <c r="H38" s="5">
        <v>60</v>
      </c>
      <c r="I38" s="4">
        <v>65</v>
      </c>
      <c r="J38" s="6">
        <v>65</v>
      </c>
      <c r="K38">
        <v>400</v>
      </c>
      <c r="N38" t="s">
        <v>1570</v>
      </c>
      <c r="O38" s="10" t="s">
        <v>1563</v>
      </c>
      <c r="P38" t="s">
        <v>1642</v>
      </c>
      <c r="Q38" t="s">
        <v>1670</v>
      </c>
      <c r="S38" t="s">
        <v>1656</v>
      </c>
      <c r="T38" t="s">
        <v>1658</v>
      </c>
      <c r="X38" t="s">
        <v>214</v>
      </c>
      <c r="Z38">
        <v>9</v>
      </c>
      <c r="AA38" t="s">
        <v>397</v>
      </c>
      <c r="AB38">
        <v>0</v>
      </c>
      <c r="AC38" s="35">
        <v>0</v>
      </c>
      <c r="AD38" s="36">
        <f t="shared" si="2"/>
        <v>0</v>
      </c>
      <c r="AF38">
        <v>181</v>
      </c>
      <c r="AG38" t="s">
        <v>92</v>
      </c>
      <c r="AH38">
        <v>1</v>
      </c>
      <c r="AI38" s="35">
        <v>5.9999999999999995E-4</v>
      </c>
      <c r="AK38">
        <v>13</v>
      </c>
      <c r="AL38" t="s">
        <v>1516</v>
      </c>
      <c r="AM38">
        <v>0</v>
      </c>
    </row>
    <row r="39" spans="2:39" x14ac:dyDescent="0.25">
      <c r="B39">
        <v>-39</v>
      </c>
      <c r="C39" t="s">
        <v>38</v>
      </c>
      <c r="D39" s="1">
        <f t="shared" si="1"/>
        <v>500</v>
      </c>
      <c r="E39" s="2">
        <v>65</v>
      </c>
      <c r="F39" s="3">
        <v>70</v>
      </c>
      <c r="G39" s="4">
        <v>120</v>
      </c>
      <c r="H39" s="5">
        <v>60</v>
      </c>
      <c r="I39" s="4">
        <v>120</v>
      </c>
      <c r="J39" s="6">
        <v>65</v>
      </c>
      <c r="K39">
        <v>500</v>
      </c>
      <c r="N39" t="s">
        <v>1571</v>
      </c>
      <c r="O39" t="s">
        <v>1564</v>
      </c>
      <c r="P39" t="s">
        <v>1643</v>
      </c>
      <c r="Q39" t="s">
        <v>1105</v>
      </c>
      <c r="S39" t="s">
        <v>1657</v>
      </c>
      <c r="X39" t="s">
        <v>215</v>
      </c>
      <c r="Z39">
        <v>37</v>
      </c>
      <c r="AA39" t="s">
        <v>421</v>
      </c>
      <c r="AB39">
        <v>0</v>
      </c>
      <c r="AC39" s="35">
        <v>0</v>
      </c>
      <c r="AD39" s="36">
        <f t="shared" si="2"/>
        <v>0</v>
      </c>
      <c r="AF39">
        <v>184</v>
      </c>
      <c r="AG39" t="s">
        <v>101</v>
      </c>
      <c r="AH39">
        <v>1</v>
      </c>
      <c r="AI39" s="35">
        <v>5.9999999999999995E-4</v>
      </c>
      <c r="AK39">
        <v>14</v>
      </c>
      <c r="AL39" t="s">
        <v>1517</v>
      </c>
      <c r="AM39">
        <v>0</v>
      </c>
    </row>
    <row r="40" spans="2:39" x14ac:dyDescent="0.25">
      <c r="B40">
        <v>-40</v>
      </c>
      <c r="C40" t="s">
        <v>39</v>
      </c>
      <c r="D40" s="1">
        <f t="shared" si="1"/>
        <v>399</v>
      </c>
      <c r="E40" s="2">
        <v>75</v>
      </c>
      <c r="F40" s="3">
        <v>80</v>
      </c>
      <c r="G40" s="4">
        <v>55</v>
      </c>
      <c r="H40" s="5">
        <v>65</v>
      </c>
      <c r="I40" s="4">
        <v>60</v>
      </c>
      <c r="J40" s="6">
        <v>64</v>
      </c>
      <c r="K40">
        <v>399</v>
      </c>
      <c r="N40" t="s">
        <v>1648</v>
      </c>
      <c r="O40" t="s">
        <v>1082</v>
      </c>
      <c r="P40" t="s">
        <v>1644</v>
      </c>
      <c r="Q40" t="s">
        <v>1106</v>
      </c>
      <c r="S40" t="s">
        <v>1661</v>
      </c>
      <c r="X40" s="10" t="s">
        <v>216</v>
      </c>
      <c r="Z40">
        <v>113</v>
      </c>
      <c r="AA40" t="s">
        <v>483</v>
      </c>
      <c r="AB40">
        <v>0</v>
      </c>
      <c r="AC40" s="35">
        <v>0</v>
      </c>
      <c r="AD40" s="36">
        <f t="shared" si="2"/>
        <v>0</v>
      </c>
      <c r="AF40">
        <v>197</v>
      </c>
      <c r="AG40" t="s">
        <v>533</v>
      </c>
      <c r="AH40">
        <v>1</v>
      </c>
      <c r="AI40" s="35">
        <v>5.9999999999999995E-4</v>
      </c>
      <c r="AK40">
        <v>15</v>
      </c>
      <c r="AL40" t="s">
        <v>1518</v>
      </c>
      <c r="AM40">
        <v>0</v>
      </c>
    </row>
    <row r="41" spans="2:39" x14ac:dyDescent="0.25">
      <c r="B41">
        <v>-41</v>
      </c>
      <c r="C41" t="s">
        <v>40</v>
      </c>
      <c r="D41" s="1">
        <f t="shared" si="1"/>
        <v>499</v>
      </c>
      <c r="E41" s="2">
        <v>125</v>
      </c>
      <c r="F41" s="3">
        <v>75</v>
      </c>
      <c r="G41" s="4">
        <v>55</v>
      </c>
      <c r="H41" s="5">
        <v>120</v>
      </c>
      <c r="I41" s="4">
        <v>60</v>
      </c>
      <c r="J41" s="6">
        <v>64</v>
      </c>
      <c r="K41">
        <v>499</v>
      </c>
      <c r="O41" s="10" t="s">
        <v>1649</v>
      </c>
      <c r="P41" t="s">
        <v>1204</v>
      </c>
      <c r="Q41" t="s">
        <v>1107</v>
      </c>
      <c r="X41" t="s">
        <v>217</v>
      </c>
      <c r="Z41">
        <v>119</v>
      </c>
      <c r="AA41" t="s">
        <v>489</v>
      </c>
      <c r="AB41">
        <v>0</v>
      </c>
      <c r="AC41" s="35">
        <v>0</v>
      </c>
      <c r="AD41" s="36">
        <f t="shared" si="2"/>
        <v>0</v>
      </c>
      <c r="AF41">
        <v>199</v>
      </c>
      <c r="AG41" t="s">
        <v>535</v>
      </c>
      <c r="AH41">
        <v>1</v>
      </c>
      <c r="AI41" s="35">
        <v>5.9999999999999995E-4</v>
      </c>
      <c r="AK41">
        <v>16</v>
      </c>
      <c r="AL41" t="s">
        <v>1519</v>
      </c>
      <c r="AM41">
        <v>0</v>
      </c>
    </row>
    <row r="42" spans="2:39" x14ac:dyDescent="0.25">
      <c r="B42">
        <v>-42</v>
      </c>
      <c r="C42" t="s">
        <v>41</v>
      </c>
      <c r="D42" s="1">
        <f t="shared" si="1"/>
        <v>436</v>
      </c>
      <c r="E42" s="2">
        <v>63</v>
      </c>
      <c r="F42" s="3">
        <v>32</v>
      </c>
      <c r="G42" s="4">
        <v>44</v>
      </c>
      <c r="H42" s="5">
        <v>118</v>
      </c>
      <c r="I42" s="4">
        <v>89</v>
      </c>
      <c r="J42" s="6">
        <v>90</v>
      </c>
      <c r="K42">
        <v>436</v>
      </c>
      <c r="O42" t="s">
        <v>1070</v>
      </c>
      <c r="P42" t="s">
        <v>1665</v>
      </c>
      <c r="X42" s="10" t="s">
        <v>218</v>
      </c>
      <c r="Z42">
        <v>122</v>
      </c>
      <c r="AA42" t="s">
        <v>577</v>
      </c>
      <c r="AB42">
        <v>0</v>
      </c>
      <c r="AC42" s="35">
        <v>0</v>
      </c>
      <c r="AD42" s="36">
        <f t="shared" si="2"/>
        <v>0</v>
      </c>
      <c r="AF42">
        <v>200</v>
      </c>
      <c r="AG42" t="s">
        <v>536</v>
      </c>
      <c r="AH42">
        <v>1</v>
      </c>
      <c r="AI42" s="35">
        <v>5.9999999999999995E-4</v>
      </c>
      <c r="AK42">
        <v>17</v>
      </c>
      <c r="AL42" t="s">
        <v>1520</v>
      </c>
      <c r="AM42">
        <v>0</v>
      </c>
    </row>
    <row r="43" spans="2:39" x14ac:dyDescent="0.25">
      <c r="B43">
        <v>-43</v>
      </c>
      <c r="C43" t="s">
        <v>42</v>
      </c>
      <c r="D43" s="1">
        <f t="shared" si="1"/>
        <v>500</v>
      </c>
      <c r="E43" s="2">
        <v>75</v>
      </c>
      <c r="F43" s="3">
        <v>100</v>
      </c>
      <c r="G43" s="4">
        <v>60</v>
      </c>
      <c r="H43" s="5">
        <v>105</v>
      </c>
      <c r="I43" s="4">
        <v>60</v>
      </c>
      <c r="J43" s="6">
        <v>100</v>
      </c>
      <c r="K43">
        <v>500</v>
      </c>
      <c r="O43" t="s">
        <v>1565</v>
      </c>
      <c r="X43" t="s">
        <v>219</v>
      </c>
      <c r="Z43">
        <v>125</v>
      </c>
      <c r="AA43" t="s">
        <v>1069</v>
      </c>
      <c r="AB43">
        <v>0</v>
      </c>
      <c r="AC43" s="35">
        <v>0</v>
      </c>
      <c r="AD43" s="36">
        <f t="shared" si="2"/>
        <v>0</v>
      </c>
      <c r="AF43">
        <v>202</v>
      </c>
      <c r="AG43" t="s">
        <v>538</v>
      </c>
      <c r="AH43">
        <v>1</v>
      </c>
      <c r="AI43" s="35">
        <v>5.9999999999999995E-4</v>
      </c>
      <c r="AK43">
        <v>18</v>
      </c>
      <c r="AL43" t="s">
        <v>1521</v>
      </c>
      <c r="AM43">
        <v>0</v>
      </c>
    </row>
    <row r="44" spans="2:39" x14ac:dyDescent="0.25">
      <c r="B44">
        <v>-44</v>
      </c>
      <c r="C44" t="s">
        <v>43</v>
      </c>
      <c r="D44" s="1">
        <f t="shared" si="1"/>
        <v>360</v>
      </c>
      <c r="E44" s="2">
        <v>55</v>
      </c>
      <c r="F44" s="3">
        <v>62</v>
      </c>
      <c r="G44" s="4">
        <v>46</v>
      </c>
      <c r="H44" s="5">
        <v>73</v>
      </c>
      <c r="I44" s="4">
        <v>75</v>
      </c>
      <c r="J44" s="6">
        <v>49</v>
      </c>
      <c r="K44">
        <v>360</v>
      </c>
      <c r="X44" s="10" t="s">
        <v>220</v>
      </c>
      <c r="Z44">
        <v>128</v>
      </c>
      <c r="AA44" t="s">
        <v>493</v>
      </c>
      <c r="AB44">
        <v>0</v>
      </c>
      <c r="AC44" s="35">
        <v>0</v>
      </c>
      <c r="AD44" s="36">
        <f t="shared" si="2"/>
        <v>0</v>
      </c>
      <c r="AF44">
        <v>205</v>
      </c>
      <c r="AG44" t="s">
        <v>1621</v>
      </c>
      <c r="AH44">
        <v>1</v>
      </c>
      <c r="AI44" s="35">
        <v>5.9999999999999995E-4</v>
      </c>
      <c r="AK44">
        <v>19</v>
      </c>
      <c r="AL44" t="s">
        <v>1522</v>
      </c>
      <c r="AM44">
        <v>0</v>
      </c>
    </row>
    <row r="45" spans="2:39" x14ac:dyDescent="0.25">
      <c r="B45">
        <v>-45</v>
      </c>
      <c r="C45" t="s">
        <v>44</v>
      </c>
      <c r="D45" s="1">
        <f t="shared" si="1"/>
        <v>505</v>
      </c>
      <c r="E45" s="2">
        <v>83</v>
      </c>
      <c r="F45" s="3">
        <v>65</v>
      </c>
      <c r="G45" s="4">
        <v>102</v>
      </c>
      <c r="H45" s="5">
        <v>115</v>
      </c>
      <c r="I45" s="4">
        <v>90</v>
      </c>
      <c r="J45" s="6">
        <v>50</v>
      </c>
      <c r="K45">
        <v>505</v>
      </c>
      <c r="O45" t="s">
        <v>1109</v>
      </c>
      <c r="X45" s="10" t="s">
        <v>221</v>
      </c>
      <c r="Z45">
        <v>183</v>
      </c>
      <c r="AA45" t="s">
        <v>94</v>
      </c>
      <c r="AB45">
        <v>0</v>
      </c>
      <c r="AC45" s="35">
        <v>0</v>
      </c>
      <c r="AD45" s="36">
        <f t="shared" si="2"/>
        <v>0</v>
      </c>
      <c r="AF45">
        <v>206</v>
      </c>
      <c r="AG45" t="s">
        <v>1622</v>
      </c>
      <c r="AH45">
        <v>1</v>
      </c>
      <c r="AI45" s="35">
        <v>5.9999999999999995E-4</v>
      </c>
      <c r="AK45">
        <v>20</v>
      </c>
      <c r="AL45" t="s">
        <v>1523</v>
      </c>
      <c r="AM45">
        <v>0</v>
      </c>
    </row>
    <row r="46" spans="2:39" x14ac:dyDescent="0.25">
      <c r="B46">
        <v>-46</v>
      </c>
      <c r="C46" t="s">
        <v>45</v>
      </c>
      <c r="D46" s="1">
        <f t="shared" si="1"/>
        <v>330</v>
      </c>
      <c r="E46" s="2">
        <v>35</v>
      </c>
      <c r="F46" s="3">
        <v>65</v>
      </c>
      <c r="G46" s="4">
        <v>45</v>
      </c>
      <c r="H46" s="5">
        <v>75</v>
      </c>
      <c r="I46" s="4">
        <v>47</v>
      </c>
      <c r="J46" s="6">
        <v>63</v>
      </c>
      <c r="K46">
        <v>330</v>
      </c>
      <c r="O46" s="10" t="s">
        <v>1111</v>
      </c>
      <c r="X46" t="s">
        <v>222</v>
      </c>
      <c r="Z46">
        <v>204</v>
      </c>
      <c r="AA46" t="s">
        <v>540</v>
      </c>
      <c r="AB46">
        <v>0</v>
      </c>
      <c r="AC46" s="35">
        <v>0</v>
      </c>
      <c r="AD46" s="36">
        <f t="shared" si="2"/>
        <v>0</v>
      </c>
      <c r="AF46">
        <v>233</v>
      </c>
      <c r="AG46" t="s">
        <v>565</v>
      </c>
      <c r="AH46">
        <v>1</v>
      </c>
      <c r="AI46" s="35">
        <v>5.9999999999999995E-4</v>
      </c>
      <c r="AK46">
        <v>21</v>
      </c>
      <c r="AL46" t="s">
        <v>1524</v>
      </c>
      <c r="AM46">
        <v>0</v>
      </c>
    </row>
    <row r="47" spans="2:39" x14ac:dyDescent="0.25">
      <c r="B47">
        <v>-47</v>
      </c>
      <c r="C47" t="s">
        <v>46</v>
      </c>
      <c r="D47" s="1">
        <f t="shared" si="1"/>
        <v>492</v>
      </c>
      <c r="E47" s="2">
        <v>65</v>
      </c>
      <c r="F47" s="3">
        <v>59</v>
      </c>
      <c r="G47" s="4">
        <v>69</v>
      </c>
      <c r="H47" s="5">
        <v>135</v>
      </c>
      <c r="I47" s="4">
        <v>71</v>
      </c>
      <c r="J47" s="6">
        <v>93</v>
      </c>
      <c r="K47">
        <v>492</v>
      </c>
      <c r="O47" t="s">
        <v>1110</v>
      </c>
      <c r="X47" t="s">
        <v>223</v>
      </c>
      <c r="Z47">
        <v>211</v>
      </c>
      <c r="AA47" t="s">
        <v>547</v>
      </c>
      <c r="AB47">
        <v>0</v>
      </c>
      <c r="AC47" s="35">
        <v>0</v>
      </c>
      <c r="AD47" s="36">
        <f t="shared" si="2"/>
        <v>0</v>
      </c>
      <c r="AF47">
        <v>234</v>
      </c>
      <c r="AG47" t="s">
        <v>566</v>
      </c>
      <c r="AH47">
        <v>1</v>
      </c>
      <c r="AI47" s="35">
        <v>5.9999999999999995E-4</v>
      </c>
      <c r="AK47">
        <v>22</v>
      </c>
      <c r="AL47" t="s">
        <v>1525</v>
      </c>
      <c r="AM47">
        <v>0</v>
      </c>
    </row>
    <row r="48" spans="2:39" x14ac:dyDescent="0.25">
      <c r="B48">
        <v>-48</v>
      </c>
      <c r="C48" t="s">
        <v>47</v>
      </c>
      <c r="D48" s="1">
        <f t="shared" si="1"/>
        <v>315</v>
      </c>
      <c r="E48" s="2">
        <v>40</v>
      </c>
      <c r="F48" s="3">
        <v>60</v>
      </c>
      <c r="G48" s="4">
        <v>65</v>
      </c>
      <c r="H48" s="5">
        <v>30</v>
      </c>
      <c r="I48" s="4">
        <v>50</v>
      </c>
      <c r="J48" s="6">
        <v>70</v>
      </c>
      <c r="K48">
        <v>315</v>
      </c>
      <c r="X48" s="10" t="s">
        <v>224</v>
      </c>
      <c r="Z48">
        <v>213</v>
      </c>
      <c r="AA48" t="s">
        <v>549</v>
      </c>
      <c r="AB48">
        <v>0</v>
      </c>
      <c r="AC48" s="35">
        <v>0</v>
      </c>
      <c r="AD48" s="36">
        <f t="shared" si="2"/>
        <v>0</v>
      </c>
      <c r="AF48">
        <v>236</v>
      </c>
      <c r="AG48" t="s">
        <v>568</v>
      </c>
      <c r="AH48">
        <v>1</v>
      </c>
      <c r="AI48" s="35">
        <v>5.9999999999999995E-4</v>
      </c>
      <c r="AK48">
        <v>23</v>
      </c>
      <c r="AL48" t="s">
        <v>1526</v>
      </c>
      <c r="AM48">
        <v>0</v>
      </c>
    </row>
    <row r="49" spans="2:40" x14ac:dyDescent="0.25">
      <c r="B49">
        <v>-49</v>
      </c>
      <c r="C49" t="s">
        <v>48</v>
      </c>
      <c r="D49" s="1">
        <f t="shared" si="1"/>
        <v>401</v>
      </c>
      <c r="E49" s="2">
        <v>53</v>
      </c>
      <c r="F49" s="3">
        <v>95</v>
      </c>
      <c r="G49" s="4">
        <v>85</v>
      </c>
      <c r="H49" s="5">
        <v>30</v>
      </c>
      <c r="I49" s="4">
        <v>53</v>
      </c>
      <c r="J49" s="6">
        <v>85</v>
      </c>
      <c r="K49">
        <v>401</v>
      </c>
      <c r="X49" s="10" t="s">
        <v>225</v>
      </c>
      <c r="Z49">
        <v>228</v>
      </c>
      <c r="AA49" t="s">
        <v>1647</v>
      </c>
      <c r="AB49">
        <v>0</v>
      </c>
      <c r="AC49" s="35">
        <v>0</v>
      </c>
      <c r="AD49" s="36">
        <f t="shared" si="2"/>
        <v>0</v>
      </c>
      <c r="AF49">
        <v>243</v>
      </c>
      <c r="AG49" t="s">
        <v>1121</v>
      </c>
      <c r="AH49">
        <v>1</v>
      </c>
      <c r="AI49" s="35">
        <v>5.9999999999999995E-4</v>
      </c>
      <c r="AK49">
        <v>24</v>
      </c>
      <c r="AL49" t="s">
        <v>1527</v>
      </c>
      <c r="AM49">
        <v>0</v>
      </c>
    </row>
    <row r="50" spans="2:40" x14ac:dyDescent="0.25">
      <c r="B50">
        <v>-50</v>
      </c>
      <c r="C50" t="s">
        <v>49</v>
      </c>
      <c r="D50" s="1">
        <f t="shared" si="1"/>
        <v>545</v>
      </c>
      <c r="E50" s="2">
        <v>68</v>
      </c>
      <c r="F50" s="3">
        <v>120</v>
      </c>
      <c r="G50" s="4">
        <v>100</v>
      </c>
      <c r="H50" s="5">
        <v>72</v>
      </c>
      <c r="I50" s="4">
        <v>80</v>
      </c>
      <c r="J50" s="6">
        <v>105</v>
      </c>
      <c r="K50">
        <v>545</v>
      </c>
      <c r="Q50" t="s">
        <v>1108</v>
      </c>
      <c r="X50" s="10" t="s">
        <v>226</v>
      </c>
      <c r="Z50">
        <v>229</v>
      </c>
      <c r="AA50" t="s">
        <v>1646</v>
      </c>
      <c r="AB50">
        <v>0</v>
      </c>
      <c r="AC50" s="35">
        <v>0</v>
      </c>
      <c r="AD50" s="36">
        <f t="shared" si="2"/>
        <v>0</v>
      </c>
      <c r="AF50">
        <v>251</v>
      </c>
      <c r="AG50" t="s">
        <v>1129</v>
      </c>
      <c r="AH50">
        <v>1</v>
      </c>
      <c r="AI50" s="35">
        <v>5.9999999999999995E-4</v>
      </c>
      <c r="AK50">
        <v>25</v>
      </c>
      <c r="AL50" t="s">
        <v>1528</v>
      </c>
      <c r="AM50">
        <v>0</v>
      </c>
    </row>
    <row r="51" spans="2:40" x14ac:dyDescent="0.25">
      <c r="B51">
        <v>-51</v>
      </c>
      <c r="C51" t="s">
        <v>50</v>
      </c>
      <c r="D51" s="1">
        <f t="shared" si="1"/>
        <v>325</v>
      </c>
      <c r="E51" s="2">
        <v>65</v>
      </c>
      <c r="F51" s="3">
        <v>60</v>
      </c>
      <c r="G51" s="4">
        <v>45</v>
      </c>
      <c r="H51" s="5">
        <v>20</v>
      </c>
      <c r="I51" s="4">
        <v>75</v>
      </c>
      <c r="J51" s="6">
        <v>60</v>
      </c>
      <c r="K51">
        <v>325</v>
      </c>
      <c r="X51" s="12" t="s">
        <v>227</v>
      </c>
      <c r="Z51">
        <v>230</v>
      </c>
      <c r="AA51" t="s">
        <v>1650</v>
      </c>
      <c r="AB51">
        <v>0</v>
      </c>
      <c r="AC51" s="35">
        <v>0</v>
      </c>
      <c r="AD51" s="36">
        <f t="shared" si="2"/>
        <v>0</v>
      </c>
      <c r="AF51">
        <v>263</v>
      </c>
      <c r="AG51" t="s">
        <v>1141</v>
      </c>
      <c r="AH51">
        <v>1</v>
      </c>
      <c r="AI51" s="35">
        <v>5.9999999999999995E-4</v>
      </c>
      <c r="AK51">
        <v>37</v>
      </c>
      <c r="AL51" t="s">
        <v>1397</v>
      </c>
      <c r="AM51">
        <v>0</v>
      </c>
    </row>
    <row r="52" spans="2:40" x14ac:dyDescent="0.25">
      <c r="B52">
        <v>-52</v>
      </c>
      <c r="C52" t="s">
        <v>51</v>
      </c>
      <c r="D52" s="1">
        <f t="shared" si="1"/>
        <v>450</v>
      </c>
      <c r="E52" s="2">
        <v>75</v>
      </c>
      <c r="F52" s="3">
        <v>105</v>
      </c>
      <c r="G52" s="4">
        <v>70</v>
      </c>
      <c r="H52" s="5">
        <v>20</v>
      </c>
      <c r="I52" s="4">
        <v>115</v>
      </c>
      <c r="J52" s="6">
        <v>65</v>
      </c>
      <c r="K52">
        <v>450</v>
      </c>
      <c r="X52" s="10" t="s">
        <v>228</v>
      </c>
      <c r="Z52">
        <v>231</v>
      </c>
      <c r="AA52" t="s">
        <v>1648</v>
      </c>
      <c r="AB52">
        <v>0</v>
      </c>
      <c r="AC52" s="35">
        <v>0</v>
      </c>
      <c r="AD52" s="36">
        <f t="shared" si="2"/>
        <v>0</v>
      </c>
      <c r="AF52">
        <v>269</v>
      </c>
      <c r="AG52" t="s">
        <v>1154</v>
      </c>
      <c r="AH52">
        <v>1</v>
      </c>
      <c r="AI52" s="35">
        <v>5.9999999999999995E-4</v>
      </c>
      <c r="AK52">
        <v>45</v>
      </c>
      <c r="AL52" t="s">
        <v>1629</v>
      </c>
      <c r="AM52">
        <v>0</v>
      </c>
    </row>
    <row r="53" spans="2:40" x14ac:dyDescent="0.25">
      <c r="B53">
        <v>-53</v>
      </c>
      <c r="C53" t="s">
        <v>52</v>
      </c>
      <c r="D53" s="1">
        <f t="shared" si="1"/>
        <v>450</v>
      </c>
      <c r="E53" s="2">
        <v>68</v>
      </c>
      <c r="F53" s="3">
        <v>92</v>
      </c>
      <c r="G53" s="4">
        <v>68</v>
      </c>
      <c r="H53" s="5">
        <v>20</v>
      </c>
      <c r="I53" s="4">
        <v>84</v>
      </c>
      <c r="J53" s="6">
        <v>118</v>
      </c>
      <c r="K53">
        <v>450</v>
      </c>
      <c r="X53" s="10" t="s">
        <v>229</v>
      </c>
      <c r="Z53">
        <v>232</v>
      </c>
      <c r="AA53" t="s">
        <v>1649</v>
      </c>
      <c r="AB53">
        <v>0</v>
      </c>
      <c r="AC53" s="35">
        <v>0</v>
      </c>
      <c r="AD53" s="36">
        <f t="shared" si="2"/>
        <v>0</v>
      </c>
      <c r="AF53">
        <v>274</v>
      </c>
      <c r="AG53" t="s">
        <v>1159</v>
      </c>
      <c r="AH53">
        <v>1</v>
      </c>
      <c r="AI53" s="35">
        <v>5.9999999999999995E-4</v>
      </c>
      <c r="AK53">
        <v>46</v>
      </c>
      <c r="AL53" t="s">
        <v>1651</v>
      </c>
      <c r="AM53">
        <v>0</v>
      </c>
    </row>
    <row r="54" spans="2:40" x14ac:dyDescent="0.25">
      <c r="B54">
        <v>-54</v>
      </c>
      <c r="C54" t="s">
        <v>53</v>
      </c>
      <c r="D54" s="1">
        <f t="shared" si="1"/>
        <v>455</v>
      </c>
      <c r="E54" s="2">
        <v>70</v>
      </c>
      <c r="F54" s="3">
        <v>125</v>
      </c>
      <c r="G54" s="4">
        <v>85</v>
      </c>
      <c r="H54" s="5">
        <v>20</v>
      </c>
      <c r="I54" s="4">
        <v>85</v>
      </c>
      <c r="J54" s="6">
        <v>70</v>
      </c>
      <c r="K54">
        <v>455</v>
      </c>
      <c r="M54" t="s">
        <v>1072</v>
      </c>
      <c r="N54" t="s">
        <v>584</v>
      </c>
      <c r="O54" t="s">
        <v>1073</v>
      </c>
      <c r="P54" t="s">
        <v>1074</v>
      </c>
      <c r="Q54" t="s">
        <v>1075</v>
      </c>
      <c r="R54" t="s">
        <v>1076</v>
      </c>
      <c r="S54" t="s">
        <v>1077</v>
      </c>
      <c r="T54" t="s">
        <v>1079</v>
      </c>
      <c r="X54" s="10" t="s">
        <v>230</v>
      </c>
      <c r="Z54">
        <v>233</v>
      </c>
      <c r="AA54" t="s">
        <v>565</v>
      </c>
      <c r="AB54">
        <v>0</v>
      </c>
      <c r="AC54" s="35">
        <v>0</v>
      </c>
      <c r="AD54" s="36">
        <f t="shared" si="2"/>
        <v>0</v>
      </c>
      <c r="AF54">
        <v>282</v>
      </c>
      <c r="AG54" t="s">
        <v>1175</v>
      </c>
      <c r="AH54">
        <v>1</v>
      </c>
      <c r="AI54" s="35">
        <v>5.9999999999999995E-4</v>
      </c>
      <c r="AK54">
        <v>81</v>
      </c>
      <c r="AL54" t="s">
        <v>1349</v>
      </c>
      <c r="AM54">
        <v>0</v>
      </c>
    </row>
    <row r="55" spans="2:40" x14ac:dyDescent="0.25">
      <c r="B55">
        <v>-55</v>
      </c>
      <c r="C55" t="s">
        <v>54</v>
      </c>
      <c r="D55" s="1">
        <f t="shared" si="1"/>
        <v>390</v>
      </c>
      <c r="E55" s="2">
        <v>95</v>
      </c>
      <c r="F55" s="3">
        <v>54</v>
      </c>
      <c r="G55" s="4">
        <v>77</v>
      </c>
      <c r="H55" s="5">
        <v>60</v>
      </c>
      <c r="I55" s="4">
        <v>72</v>
      </c>
      <c r="J55" s="6">
        <v>32</v>
      </c>
      <c r="K55">
        <v>390</v>
      </c>
      <c r="M55" t="s">
        <v>204</v>
      </c>
      <c r="N55">
        <v>74.5</v>
      </c>
      <c r="O55">
        <v>93.5</v>
      </c>
      <c r="P55">
        <v>67.3</v>
      </c>
      <c r="Q55">
        <v>74.2</v>
      </c>
      <c r="R55">
        <v>72</v>
      </c>
      <c r="S55">
        <v>85.8</v>
      </c>
      <c r="T55">
        <v>33</v>
      </c>
      <c r="X55" s="10" t="s">
        <v>231</v>
      </c>
      <c r="Z55">
        <v>234</v>
      </c>
      <c r="AA55" t="s">
        <v>566</v>
      </c>
      <c r="AB55">
        <v>0</v>
      </c>
      <c r="AC55" s="35">
        <v>0</v>
      </c>
      <c r="AD55" s="36">
        <f t="shared" si="2"/>
        <v>0</v>
      </c>
      <c r="AF55">
        <v>290</v>
      </c>
      <c r="AG55" t="s">
        <v>1170</v>
      </c>
      <c r="AH55">
        <v>1</v>
      </c>
      <c r="AI55" s="35">
        <v>5.9999999999999995E-4</v>
      </c>
      <c r="AK55">
        <v>93</v>
      </c>
      <c r="AL55" t="s">
        <v>1376</v>
      </c>
      <c r="AM55">
        <v>0</v>
      </c>
    </row>
    <row r="56" spans="2:40" x14ac:dyDescent="0.25">
      <c r="B56">
        <v>-56</v>
      </c>
      <c r="C56" t="s">
        <v>55</v>
      </c>
      <c r="D56" s="1">
        <f t="shared" si="1"/>
        <v>465</v>
      </c>
      <c r="E56" s="2">
        <v>100</v>
      </c>
      <c r="F56" s="3">
        <v>90</v>
      </c>
      <c r="G56" s="4">
        <v>77</v>
      </c>
      <c r="H56" s="5">
        <v>95</v>
      </c>
      <c r="I56" s="4">
        <v>72</v>
      </c>
      <c r="J56" s="6">
        <v>31</v>
      </c>
      <c r="K56">
        <v>465</v>
      </c>
      <c r="M56" t="s">
        <v>178</v>
      </c>
      <c r="N56">
        <v>66.7</v>
      </c>
      <c r="O56">
        <v>63.8</v>
      </c>
      <c r="P56">
        <v>70.7</v>
      </c>
      <c r="Q56">
        <v>64.900000000000006</v>
      </c>
      <c r="R56">
        <v>75.8</v>
      </c>
      <c r="S56">
        <v>66.2</v>
      </c>
      <c r="T56">
        <v>33</v>
      </c>
      <c r="X56" s="12" t="s">
        <v>178</v>
      </c>
      <c r="Z56">
        <v>235</v>
      </c>
      <c r="AA56" t="s">
        <v>567</v>
      </c>
      <c r="AB56">
        <v>0</v>
      </c>
      <c r="AC56" s="35">
        <v>0</v>
      </c>
      <c r="AD56" s="36">
        <f t="shared" si="2"/>
        <v>0</v>
      </c>
      <c r="AF56">
        <v>292</v>
      </c>
      <c r="AG56" t="s">
        <v>1190</v>
      </c>
      <c r="AH56">
        <v>1</v>
      </c>
      <c r="AI56" s="35">
        <v>5.9999999999999995E-4</v>
      </c>
      <c r="AK56">
        <v>94</v>
      </c>
      <c r="AL56" t="s">
        <v>1401</v>
      </c>
      <c r="AM56">
        <v>0</v>
      </c>
    </row>
    <row r="57" spans="2:40" x14ac:dyDescent="0.25">
      <c r="B57">
        <v>-57</v>
      </c>
      <c r="C57" t="s">
        <v>56</v>
      </c>
      <c r="D57" s="1">
        <f t="shared" si="1"/>
        <v>318</v>
      </c>
      <c r="E57" s="2">
        <v>40</v>
      </c>
      <c r="F57" s="3">
        <v>75</v>
      </c>
      <c r="G57" s="4">
        <v>40</v>
      </c>
      <c r="H57" s="5">
        <v>30</v>
      </c>
      <c r="I57" s="4">
        <v>40</v>
      </c>
      <c r="J57" s="6">
        <v>93</v>
      </c>
      <c r="K57">
        <v>318</v>
      </c>
      <c r="M57" t="s">
        <v>186</v>
      </c>
      <c r="N57">
        <v>73.5</v>
      </c>
      <c r="O57">
        <v>104.7</v>
      </c>
      <c r="P57">
        <v>83.4</v>
      </c>
      <c r="Q57">
        <v>50.2</v>
      </c>
      <c r="R57">
        <v>73.2</v>
      </c>
      <c r="S57">
        <v>71.099999999999994</v>
      </c>
      <c r="T57">
        <v>32</v>
      </c>
      <c r="X57" s="10" t="s">
        <v>232</v>
      </c>
      <c r="Y57" t="s">
        <v>578</v>
      </c>
      <c r="Z57">
        <v>236</v>
      </c>
      <c r="AA57" t="s">
        <v>568</v>
      </c>
      <c r="AB57">
        <v>0</v>
      </c>
      <c r="AC57" s="35">
        <v>0</v>
      </c>
      <c r="AD57" s="36">
        <f t="shared" si="2"/>
        <v>0</v>
      </c>
      <c r="AF57">
        <v>293</v>
      </c>
      <c r="AG57" t="s">
        <v>1191</v>
      </c>
      <c r="AH57">
        <v>1</v>
      </c>
      <c r="AI57" s="35">
        <v>5.9999999999999995E-4</v>
      </c>
      <c r="AK57">
        <v>106</v>
      </c>
      <c r="AL57" t="s">
        <v>1006</v>
      </c>
      <c r="AM57">
        <v>0</v>
      </c>
    </row>
    <row r="58" spans="2:40" x14ac:dyDescent="0.25">
      <c r="B58">
        <v>-58</v>
      </c>
      <c r="C58" t="s">
        <v>57</v>
      </c>
      <c r="D58" s="1">
        <f t="shared" si="1"/>
        <v>419</v>
      </c>
      <c r="E58" s="2">
        <v>60</v>
      </c>
      <c r="F58" s="3">
        <v>102</v>
      </c>
      <c r="G58" s="4">
        <v>65</v>
      </c>
      <c r="H58" s="5">
        <v>35</v>
      </c>
      <c r="I58" s="4">
        <v>50</v>
      </c>
      <c r="J58" s="6">
        <v>107</v>
      </c>
      <c r="K58">
        <v>419</v>
      </c>
      <c r="M58" t="s">
        <v>182</v>
      </c>
      <c r="N58">
        <v>70.099999999999994</v>
      </c>
      <c r="O58">
        <v>82.3</v>
      </c>
      <c r="P58">
        <v>70.599999999999994</v>
      </c>
      <c r="Q58">
        <v>72.2</v>
      </c>
      <c r="R58">
        <v>68.2</v>
      </c>
      <c r="S58">
        <v>73.099999999999994</v>
      </c>
      <c r="T58">
        <v>32</v>
      </c>
      <c r="X58" s="10" t="s">
        <v>233</v>
      </c>
      <c r="Z58">
        <v>237</v>
      </c>
      <c r="AA58" t="s">
        <v>573</v>
      </c>
      <c r="AB58">
        <v>0</v>
      </c>
      <c r="AC58" s="35">
        <v>0</v>
      </c>
      <c r="AD58" s="36">
        <f t="shared" si="2"/>
        <v>0</v>
      </c>
      <c r="AF58">
        <v>1</v>
      </c>
      <c r="AG58" t="s">
        <v>389</v>
      </c>
      <c r="AH58">
        <v>2</v>
      </c>
      <c r="AI58" s="35">
        <v>1.1999999999999999E-3</v>
      </c>
      <c r="AK58">
        <v>113</v>
      </c>
      <c r="AL58" t="s">
        <v>1471</v>
      </c>
      <c r="AM58">
        <v>0</v>
      </c>
    </row>
    <row r="59" spans="2:40" x14ac:dyDescent="0.25">
      <c r="B59">
        <v>-59</v>
      </c>
      <c r="C59" t="s">
        <v>173</v>
      </c>
      <c r="D59" s="1">
        <f t="shared" si="1"/>
        <v>350</v>
      </c>
      <c r="E59" s="2">
        <v>55</v>
      </c>
      <c r="F59" s="3">
        <v>60</v>
      </c>
      <c r="G59" s="4">
        <v>40</v>
      </c>
      <c r="H59" s="5">
        <v>60</v>
      </c>
      <c r="I59" s="4">
        <v>55</v>
      </c>
      <c r="J59" s="6">
        <v>80</v>
      </c>
      <c r="K59">
        <v>350</v>
      </c>
      <c r="M59" t="s">
        <v>208</v>
      </c>
      <c r="N59">
        <v>65.2</v>
      </c>
      <c r="O59">
        <v>61.5</v>
      </c>
      <c r="P59">
        <v>60.7</v>
      </c>
      <c r="Q59">
        <v>85.7</v>
      </c>
      <c r="R59">
        <v>80.599999999999994</v>
      </c>
      <c r="S59">
        <v>73.7</v>
      </c>
      <c r="T59">
        <v>32</v>
      </c>
      <c r="X59" s="10" t="s">
        <v>234</v>
      </c>
      <c r="Z59">
        <v>251</v>
      </c>
      <c r="AA59" t="s">
        <v>1129</v>
      </c>
      <c r="AB59">
        <v>0</v>
      </c>
      <c r="AC59" s="35">
        <v>0</v>
      </c>
      <c r="AD59" s="36">
        <f t="shared" si="2"/>
        <v>0</v>
      </c>
      <c r="AF59">
        <v>4</v>
      </c>
      <c r="AG59" t="s">
        <v>392</v>
      </c>
      <c r="AH59">
        <v>2</v>
      </c>
      <c r="AI59" s="35">
        <v>1.1999999999999999E-3</v>
      </c>
      <c r="AK59">
        <v>114</v>
      </c>
      <c r="AL59" t="s">
        <v>1419</v>
      </c>
      <c r="AM59">
        <v>0</v>
      </c>
    </row>
    <row r="60" spans="2:40" x14ac:dyDescent="0.25">
      <c r="B60">
        <v>-60</v>
      </c>
      <c r="C60" t="s">
        <v>174</v>
      </c>
      <c r="D60" s="1">
        <f t="shared" si="1"/>
        <v>500</v>
      </c>
      <c r="E60" s="2">
        <v>105</v>
      </c>
      <c r="F60" s="3">
        <v>88</v>
      </c>
      <c r="G60" s="4">
        <v>60</v>
      </c>
      <c r="H60" s="5">
        <v>112</v>
      </c>
      <c r="I60" s="4">
        <v>65</v>
      </c>
      <c r="J60" s="6">
        <v>70</v>
      </c>
      <c r="K60">
        <v>500</v>
      </c>
      <c r="M60" t="s">
        <v>194</v>
      </c>
      <c r="N60">
        <v>63.8</v>
      </c>
      <c r="O60">
        <v>62.4</v>
      </c>
      <c r="P60">
        <v>62.6</v>
      </c>
      <c r="Q60">
        <v>89</v>
      </c>
      <c r="R60">
        <v>80.900000000000006</v>
      </c>
      <c r="S60">
        <v>61.2</v>
      </c>
      <c r="T60">
        <v>30</v>
      </c>
      <c r="X60" s="12" t="s">
        <v>235</v>
      </c>
      <c r="Y60" t="s">
        <v>236</v>
      </c>
      <c r="Z60">
        <v>252</v>
      </c>
      <c r="AA60" t="s">
        <v>1130</v>
      </c>
      <c r="AB60">
        <v>0</v>
      </c>
      <c r="AC60" s="35">
        <v>0</v>
      </c>
      <c r="AD60" s="36">
        <f t="shared" si="2"/>
        <v>0</v>
      </c>
      <c r="AF60">
        <v>7</v>
      </c>
      <c r="AG60" t="s">
        <v>395</v>
      </c>
      <c r="AH60">
        <v>2</v>
      </c>
      <c r="AI60" s="35">
        <v>1.1999999999999999E-3</v>
      </c>
      <c r="AK60">
        <v>132</v>
      </c>
      <c r="AL60" t="s">
        <v>910</v>
      </c>
      <c r="AM60">
        <v>0</v>
      </c>
    </row>
    <row r="61" spans="2:40" x14ac:dyDescent="0.25">
      <c r="B61">
        <v>-61</v>
      </c>
      <c r="C61" t="s">
        <v>58</v>
      </c>
      <c r="D61" s="1">
        <f t="shared" si="1"/>
        <v>390</v>
      </c>
      <c r="E61" s="2">
        <v>55</v>
      </c>
      <c r="F61" s="3">
        <v>32</v>
      </c>
      <c r="G61" s="4">
        <v>75</v>
      </c>
      <c r="H61" s="5">
        <v>55</v>
      </c>
      <c r="I61" s="4">
        <v>100</v>
      </c>
      <c r="J61" s="6">
        <v>73</v>
      </c>
      <c r="K61">
        <v>390</v>
      </c>
      <c r="M61" t="s">
        <v>198</v>
      </c>
      <c r="N61">
        <v>79.8</v>
      </c>
      <c r="O61">
        <v>82.2</v>
      </c>
      <c r="P61">
        <v>97</v>
      </c>
      <c r="Q61">
        <v>65.2</v>
      </c>
      <c r="R61">
        <v>76</v>
      </c>
      <c r="S61">
        <v>52.1</v>
      </c>
      <c r="T61">
        <v>29</v>
      </c>
      <c r="X61" t="s">
        <v>237</v>
      </c>
      <c r="Z61">
        <v>253</v>
      </c>
      <c r="AA61" t="s">
        <v>1131</v>
      </c>
      <c r="AB61">
        <v>0</v>
      </c>
      <c r="AC61" s="35">
        <v>0</v>
      </c>
      <c r="AD61" s="36">
        <f t="shared" si="2"/>
        <v>0</v>
      </c>
      <c r="AF61">
        <v>23</v>
      </c>
      <c r="AG61" t="s">
        <v>1584</v>
      </c>
      <c r="AH61">
        <v>2</v>
      </c>
      <c r="AI61" s="35">
        <v>1.1999999999999999E-3</v>
      </c>
      <c r="AK61">
        <v>140</v>
      </c>
      <c r="AL61" t="s">
        <v>915</v>
      </c>
      <c r="AM61">
        <v>0</v>
      </c>
      <c r="AN61" t="s">
        <v>1554</v>
      </c>
    </row>
    <row r="62" spans="2:40" x14ac:dyDescent="0.25">
      <c r="B62">
        <v>-62</v>
      </c>
      <c r="C62" t="s">
        <v>59</v>
      </c>
      <c r="D62" s="1">
        <f t="shared" si="1"/>
        <v>486</v>
      </c>
      <c r="E62" s="2">
        <v>71</v>
      </c>
      <c r="F62" s="3">
        <v>65</v>
      </c>
      <c r="G62" s="4">
        <v>110</v>
      </c>
      <c r="H62" s="5">
        <v>60</v>
      </c>
      <c r="I62" s="4">
        <v>110</v>
      </c>
      <c r="J62" s="6">
        <v>70</v>
      </c>
      <c r="K62">
        <v>486</v>
      </c>
      <c r="M62" t="s">
        <v>180</v>
      </c>
      <c r="N62">
        <v>68.099999999999994</v>
      </c>
      <c r="O62">
        <v>76.5</v>
      </c>
      <c r="P62">
        <v>70.7</v>
      </c>
      <c r="Q62">
        <v>75.3</v>
      </c>
      <c r="R62">
        <v>73.5</v>
      </c>
      <c r="S62">
        <v>66.099999999999994</v>
      </c>
      <c r="T62">
        <v>29</v>
      </c>
      <c r="X62" s="10" t="s">
        <v>238</v>
      </c>
      <c r="Z62">
        <v>255</v>
      </c>
      <c r="AA62" t="s">
        <v>1133</v>
      </c>
      <c r="AB62">
        <v>0</v>
      </c>
      <c r="AC62" s="35">
        <v>0</v>
      </c>
      <c r="AD62" s="36">
        <f t="shared" si="2"/>
        <v>0</v>
      </c>
      <c r="AF62">
        <v>29</v>
      </c>
      <c r="AG62" t="s">
        <v>413</v>
      </c>
      <c r="AH62">
        <v>2</v>
      </c>
      <c r="AI62" s="35">
        <v>1.1999999999999999E-3</v>
      </c>
      <c r="AK62">
        <v>141</v>
      </c>
      <c r="AL62" t="s">
        <v>916</v>
      </c>
      <c r="AM62">
        <v>0</v>
      </c>
    </row>
    <row r="63" spans="2:40" x14ac:dyDescent="0.25">
      <c r="B63">
        <v>-63</v>
      </c>
      <c r="C63" t="s">
        <v>60</v>
      </c>
      <c r="D63" s="1">
        <f t="shared" si="1"/>
        <v>318</v>
      </c>
      <c r="E63" s="2">
        <v>30</v>
      </c>
      <c r="F63" s="3">
        <v>30</v>
      </c>
      <c r="G63" s="4">
        <v>88</v>
      </c>
      <c r="H63" s="5">
        <v>70</v>
      </c>
      <c r="I63" s="4">
        <v>55</v>
      </c>
      <c r="J63" s="6">
        <v>45</v>
      </c>
      <c r="K63">
        <v>318</v>
      </c>
      <c r="M63" t="s">
        <v>176</v>
      </c>
      <c r="N63">
        <v>75.3</v>
      </c>
      <c r="O63">
        <v>71.599999999999994</v>
      </c>
      <c r="P63">
        <v>71.5</v>
      </c>
      <c r="Q63">
        <v>88.7</v>
      </c>
      <c r="R63">
        <v>73.599999999999994</v>
      </c>
      <c r="S63">
        <v>72.2</v>
      </c>
      <c r="T63">
        <v>29</v>
      </c>
      <c r="X63" s="12" t="s">
        <v>239</v>
      </c>
      <c r="Z63">
        <v>259</v>
      </c>
      <c r="AA63" t="s">
        <v>1137</v>
      </c>
      <c r="AB63">
        <v>0</v>
      </c>
      <c r="AC63" s="35">
        <v>0</v>
      </c>
      <c r="AD63" s="36">
        <f t="shared" si="2"/>
        <v>0</v>
      </c>
      <c r="AF63">
        <v>33</v>
      </c>
      <c r="AG63" t="s">
        <v>417</v>
      </c>
      <c r="AH63">
        <v>2</v>
      </c>
      <c r="AI63" s="35">
        <v>1.1999999999999999E-3</v>
      </c>
      <c r="AK63">
        <v>145</v>
      </c>
      <c r="AL63" t="s">
        <v>920</v>
      </c>
      <c r="AM63">
        <v>0</v>
      </c>
    </row>
    <row r="64" spans="2:40" x14ac:dyDescent="0.25">
      <c r="B64">
        <v>-64</v>
      </c>
      <c r="C64" t="s">
        <v>61</v>
      </c>
      <c r="D64" s="1">
        <f t="shared" si="1"/>
        <v>471</v>
      </c>
      <c r="E64" s="2">
        <v>65</v>
      </c>
      <c r="F64" s="3">
        <v>113</v>
      </c>
      <c r="G64" s="4">
        <v>58</v>
      </c>
      <c r="H64" s="5">
        <v>83</v>
      </c>
      <c r="I64" s="4">
        <v>25</v>
      </c>
      <c r="J64" s="6">
        <v>127</v>
      </c>
      <c r="K64">
        <v>471</v>
      </c>
      <c r="M64" t="s">
        <v>210</v>
      </c>
      <c r="N64">
        <v>68.599999999999994</v>
      </c>
      <c r="O64">
        <v>91.6</v>
      </c>
      <c r="P64">
        <v>69.2</v>
      </c>
      <c r="Q64">
        <v>86.6</v>
      </c>
      <c r="R64">
        <v>79.099999999999994</v>
      </c>
      <c r="S64">
        <v>81.8</v>
      </c>
      <c r="T64">
        <v>28</v>
      </c>
      <c r="X64" s="10" t="s">
        <v>240</v>
      </c>
      <c r="Z64">
        <v>260</v>
      </c>
      <c r="AA64" t="s">
        <v>1138</v>
      </c>
      <c r="AB64">
        <v>0</v>
      </c>
      <c r="AC64" s="35">
        <v>0</v>
      </c>
      <c r="AD64" s="36">
        <f t="shared" si="2"/>
        <v>0</v>
      </c>
      <c r="AF64">
        <v>35</v>
      </c>
      <c r="AG64" t="s">
        <v>419</v>
      </c>
      <c r="AH64">
        <v>2</v>
      </c>
      <c r="AI64" s="35">
        <v>1.1999999999999999E-3</v>
      </c>
      <c r="AK64">
        <v>151</v>
      </c>
      <c r="AL64" t="s">
        <v>1473</v>
      </c>
      <c r="AM64">
        <v>0</v>
      </c>
    </row>
    <row r="65" spans="2:40" x14ac:dyDescent="0.25">
      <c r="B65">
        <v>-65</v>
      </c>
      <c r="C65" t="s">
        <v>62</v>
      </c>
      <c r="D65" s="1">
        <f t="shared" si="1"/>
        <v>400</v>
      </c>
      <c r="E65" s="2">
        <v>100</v>
      </c>
      <c r="F65" s="3">
        <v>28</v>
      </c>
      <c r="G65" s="4">
        <v>45</v>
      </c>
      <c r="H65" s="5">
        <v>72</v>
      </c>
      <c r="I65" s="4">
        <v>110</v>
      </c>
      <c r="J65" s="6">
        <v>45</v>
      </c>
      <c r="K65">
        <v>400</v>
      </c>
      <c r="M65" t="s">
        <v>212</v>
      </c>
      <c r="N65">
        <v>85</v>
      </c>
      <c r="O65">
        <v>82</v>
      </c>
      <c r="P65">
        <v>76.400000000000006</v>
      </c>
      <c r="Q65">
        <v>78.400000000000006</v>
      </c>
      <c r="R65">
        <v>80.8</v>
      </c>
      <c r="S65">
        <v>71.099999999999994</v>
      </c>
      <c r="T65">
        <v>27</v>
      </c>
      <c r="X65" t="s">
        <v>241</v>
      </c>
      <c r="Z65">
        <v>270</v>
      </c>
      <c r="AA65" t="s">
        <v>1155</v>
      </c>
      <c r="AB65">
        <v>0</v>
      </c>
      <c r="AC65" s="35">
        <v>0</v>
      </c>
      <c r="AD65" s="36">
        <f t="shared" si="2"/>
        <v>0</v>
      </c>
      <c r="AF65">
        <v>38</v>
      </c>
      <c r="AG65" t="s">
        <v>422</v>
      </c>
      <c r="AH65">
        <v>2</v>
      </c>
      <c r="AI65" s="35">
        <v>1.1999999999999999E-3</v>
      </c>
      <c r="AK65">
        <v>186</v>
      </c>
      <c r="AL65" t="s">
        <v>1386</v>
      </c>
      <c r="AM65">
        <v>0</v>
      </c>
    </row>
    <row r="66" spans="2:40" x14ac:dyDescent="0.25">
      <c r="B66">
        <v>-66</v>
      </c>
      <c r="C66" t="s">
        <v>63</v>
      </c>
      <c r="D66" s="1">
        <f t="shared" ref="D66:D131" si="3">SUM(E66:J66)</f>
        <v>495</v>
      </c>
      <c r="E66" s="2">
        <v>100</v>
      </c>
      <c r="F66" s="3">
        <v>100</v>
      </c>
      <c r="G66" s="4">
        <v>76</v>
      </c>
      <c r="H66" s="5">
        <v>34</v>
      </c>
      <c r="I66" s="4">
        <v>94</v>
      </c>
      <c r="J66" s="6">
        <v>91</v>
      </c>
      <c r="K66">
        <v>495</v>
      </c>
      <c r="M66" t="s">
        <v>196</v>
      </c>
      <c r="N66">
        <v>61</v>
      </c>
      <c r="O66">
        <v>83.7</v>
      </c>
      <c r="P66">
        <v>71.2</v>
      </c>
      <c r="Q66">
        <v>56.5</v>
      </c>
      <c r="R66">
        <v>62.3</v>
      </c>
      <c r="S66">
        <v>74.2</v>
      </c>
      <c r="T66">
        <v>26</v>
      </c>
      <c r="X66" s="10" t="s">
        <v>242</v>
      </c>
      <c r="Z66">
        <v>271</v>
      </c>
      <c r="AA66" t="s">
        <v>1156</v>
      </c>
      <c r="AB66">
        <v>0</v>
      </c>
      <c r="AC66" s="35">
        <v>0</v>
      </c>
      <c r="AD66" s="36">
        <f t="shared" si="2"/>
        <v>0</v>
      </c>
      <c r="AF66">
        <v>41</v>
      </c>
      <c r="AG66" t="s">
        <v>1589</v>
      </c>
      <c r="AH66">
        <v>2</v>
      </c>
      <c r="AI66" s="35">
        <v>1.1999999999999999E-3</v>
      </c>
      <c r="AK66">
        <v>187</v>
      </c>
      <c r="AL66" t="s">
        <v>1387</v>
      </c>
      <c r="AM66">
        <v>0</v>
      </c>
      <c r="AN66" t="s">
        <v>1554</v>
      </c>
    </row>
    <row r="67" spans="2:40" x14ac:dyDescent="0.25">
      <c r="B67">
        <v>-67</v>
      </c>
      <c r="C67" t="s">
        <v>64</v>
      </c>
      <c r="D67" s="1">
        <f t="shared" si="3"/>
        <v>330</v>
      </c>
      <c r="E67" s="2">
        <v>60</v>
      </c>
      <c r="F67" s="3">
        <v>40</v>
      </c>
      <c r="G67" s="4">
        <v>90</v>
      </c>
      <c r="H67" s="5">
        <v>40</v>
      </c>
      <c r="I67" s="4">
        <v>66</v>
      </c>
      <c r="J67" s="6">
        <v>34</v>
      </c>
      <c r="K67">
        <v>330</v>
      </c>
      <c r="M67" t="s">
        <v>190</v>
      </c>
      <c r="N67">
        <v>61.3</v>
      </c>
      <c r="O67">
        <v>79</v>
      </c>
      <c r="P67">
        <v>86</v>
      </c>
      <c r="Q67">
        <v>54.6</v>
      </c>
      <c r="R67">
        <v>58</v>
      </c>
      <c r="S67">
        <v>55.5</v>
      </c>
      <c r="T67">
        <v>24</v>
      </c>
      <c r="X67" s="10" t="s">
        <v>243</v>
      </c>
      <c r="Z67">
        <v>272</v>
      </c>
      <c r="AA67" t="s">
        <v>1157</v>
      </c>
      <c r="AB67">
        <v>0</v>
      </c>
      <c r="AC67" s="35">
        <v>0</v>
      </c>
      <c r="AD67" s="36">
        <f t="shared" si="2"/>
        <v>0</v>
      </c>
      <c r="AF67">
        <v>44</v>
      </c>
      <c r="AG67" t="s">
        <v>574</v>
      </c>
      <c r="AH67">
        <v>2</v>
      </c>
      <c r="AI67" s="35">
        <v>1.1999999999999999E-3</v>
      </c>
      <c r="AK67">
        <v>188</v>
      </c>
      <c r="AL67" t="s">
        <v>1388</v>
      </c>
      <c r="AM67">
        <v>0</v>
      </c>
      <c r="AN67" t="s">
        <v>1554</v>
      </c>
    </row>
    <row r="68" spans="2:40" x14ac:dyDescent="0.25">
      <c r="B68">
        <v>-68</v>
      </c>
      <c r="C68" t="s">
        <v>65</v>
      </c>
      <c r="D68" s="1">
        <f t="shared" si="3"/>
        <v>430</v>
      </c>
      <c r="E68" s="2">
        <v>66</v>
      </c>
      <c r="F68" s="3">
        <v>76</v>
      </c>
      <c r="G68" s="4">
        <v>115</v>
      </c>
      <c r="H68" s="5">
        <v>54</v>
      </c>
      <c r="I68" s="4">
        <v>79</v>
      </c>
      <c r="J68" s="6">
        <v>40</v>
      </c>
      <c r="K68">
        <v>430</v>
      </c>
      <c r="M68" t="s">
        <v>188</v>
      </c>
      <c r="N68">
        <v>68.599999999999994</v>
      </c>
      <c r="O68">
        <v>80.599999999999994</v>
      </c>
      <c r="P68">
        <v>62.4</v>
      </c>
      <c r="Q68">
        <v>81.2</v>
      </c>
      <c r="R68">
        <v>77.099999999999994</v>
      </c>
      <c r="S68">
        <v>86.3</v>
      </c>
      <c r="T68">
        <v>23</v>
      </c>
      <c r="X68" s="10" t="s">
        <v>244</v>
      </c>
      <c r="Z68">
        <v>274</v>
      </c>
      <c r="AA68" t="s">
        <v>1159</v>
      </c>
      <c r="AB68">
        <v>0</v>
      </c>
      <c r="AC68" s="35">
        <v>0</v>
      </c>
      <c r="AD68" s="36">
        <f t="shared" si="2"/>
        <v>0</v>
      </c>
      <c r="AF68">
        <v>45</v>
      </c>
      <c r="AG68" t="s">
        <v>575</v>
      </c>
      <c r="AH68">
        <v>2</v>
      </c>
      <c r="AI68" s="35">
        <v>1.1999999999999999E-3</v>
      </c>
      <c r="AK68">
        <v>189</v>
      </c>
      <c r="AL68" t="s">
        <v>1389</v>
      </c>
      <c r="AM68">
        <v>0</v>
      </c>
      <c r="AN68" t="s">
        <v>1556</v>
      </c>
    </row>
    <row r="69" spans="2:40" x14ac:dyDescent="0.25">
      <c r="B69">
        <v>-69</v>
      </c>
      <c r="C69" t="s">
        <v>66</v>
      </c>
      <c r="D69" s="1">
        <f t="shared" si="3"/>
        <v>505</v>
      </c>
      <c r="E69" s="2">
        <v>105</v>
      </c>
      <c r="F69" s="3">
        <v>125</v>
      </c>
      <c r="G69" s="4">
        <v>100</v>
      </c>
      <c r="H69" s="5">
        <v>45</v>
      </c>
      <c r="I69" s="4">
        <v>55</v>
      </c>
      <c r="J69" s="6">
        <v>75</v>
      </c>
      <c r="K69">
        <v>505</v>
      </c>
      <c r="M69" t="s">
        <v>192</v>
      </c>
      <c r="N69">
        <v>69.099999999999994</v>
      </c>
      <c r="O69">
        <v>68.400000000000006</v>
      </c>
      <c r="P69">
        <v>72.599999999999994</v>
      </c>
      <c r="Q69">
        <v>72.5</v>
      </c>
      <c r="R69">
        <v>79.8</v>
      </c>
      <c r="S69">
        <v>83.9</v>
      </c>
      <c r="T69">
        <v>22</v>
      </c>
      <c r="X69" s="10" t="s">
        <v>245</v>
      </c>
      <c r="Z69">
        <v>279</v>
      </c>
      <c r="AA69" t="s">
        <v>1173</v>
      </c>
      <c r="AB69">
        <v>0</v>
      </c>
      <c r="AC69" s="35">
        <v>0</v>
      </c>
      <c r="AD69" s="36">
        <f t="shared" si="2"/>
        <v>0</v>
      </c>
      <c r="AF69">
        <v>48</v>
      </c>
      <c r="AG69" t="s">
        <v>1593</v>
      </c>
      <c r="AH69">
        <v>2</v>
      </c>
      <c r="AI69" s="35">
        <v>1.1999999999999999E-3</v>
      </c>
      <c r="AK69">
        <v>190</v>
      </c>
      <c r="AL69" t="s">
        <v>1390</v>
      </c>
      <c r="AM69">
        <v>0</v>
      </c>
    </row>
    <row r="70" spans="2:40" x14ac:dyDescent="0.25">
      <c r="B70">
        <v>-70</v>
      </c>
      <c r="C70" t="s">
        <v>67</v>
      </c>
      <c r="D70" s="1">
        <f t="shared" si="3"/>
        <v>525</v>
      </c>
      <c r="E70" s="2">
        <v>81</v>
      </c>
      <c r="F70" s="3">
        <v>103</v>
      </c>
      <c r="G70" s="4">
        <v>63</v>
      </c>
      <c r="H70" s="5">
        <v>113</v>
      </c>
      <c r="I70" s="4">
        <v>90</v>
      </c>
      <c r="J70" s="6">
        <v>75</v>
      </c>
      <c r="K70">
        <v>525</v>
      </c>
      <c r="M70" t="s">
        <v>200</v>
      </c>
      <c r="N70">
        <v>66.900000000000006</v>
      </c>
      <c r="O70">
        <v>72.900000000000006</v>
      </c>
      <c r="P70">
        <v>70.900000000000006</v>
      </c>
      <c r="Q70">
        <v>79.8</v>
      </c>
      <c r="R70">
        <v>71.5</v>
      </c>
      <c r="S70">
        <v>71.099999999999994</v>
      </c>
      <c r="T70">
        <v>21</v>
      </c>
      <c r="X70" t="s">
        <v>246</v>
      </c>
      <c r="Z70">
        <v>284</v>
      </c>
      <c r="AA70" t="s">
        <v>1199</v>
      </c>
      <c r="AB70">
        <v>0</v>
      </c>
      <c r="AC70" s="35">
        <v>0</v>
      </c>
      <c r="AD70" s="36">
        <f t="shared" si="2"/>
        <v>0</v>
      </c>
      <c r="AF70">
        <v>49</v>
      </c>
      <c r="AG70" t="s">
        <v>1594</v>
      </c>
      <c r="AH70">
        <v>2</v>
      </c>
      <c r="AI70" s="35">
        <v>1.1999999999999999E-3</v>
      </c>
      <c r="AK70">
        <v>192</v>
      </c>
      <c r="AL70" t="s">
        <v>1391</v>
      </c>
      <c r="AM70">
        <v>0</v>
      </c>
    </row>
    <row r="71" spans="2:40" x14ac:dyDescent="0.25">
      <c r="B71">
        <v>-71</v>
      </c>
      <c r="C71" t="s">
        <v>68</v>
      </c>
      <c r="D71" s="1">
        <f t="shared" si="3"/>
        <v>306</v>
      </c>
      <c r="E71" s="2">
        <v>51</v>
      </c>
      <c r="F71" s="3">
        <v>55</v>
      </c>
      <c r="G71" s="4">
        <v>69</v>
      </c>
      <c r="H71" s="5">
        <v>40</v>
      </c>
      <c r="I71" s="4">
        <v>56</v>
      </c>
      <c r="J71" s="6">
        <v>35</v>
      </c>
      <c r="K71">
        <v>316</v>
      </c>
      <c r="M71" t="s">
        <v>202</v>
      </c>
      <c r="N71">
        <v>87</v>
      </c>
      <c r="O71">
        <v>93.4</v>
      </c>
      <c r="P71">
        <v>85.2</v>
      </c>
      <c r="Q71">
        <v>91.8</v>
      </c>
      <c r="R71">
        <v>82.9</v>
      </c>
      <c r="S71">
        <v>82.3</v>
      </c>
      <c r="T71">
        <v>20</v>
      </c>
      <c r="X71" s="10" t="s">
        <v>247</v>
      </c>
      <c r="Z71">
        <v>285</v>
      </c>
      <c r="AA71" t="s">
        <v>1200</v>
      </c>
      <c r="AB71">
        <v>0</v>
      </c>
      <c r="AC71" s="35">
        <v>0</v>
      </c>
      <c r="AD71" s="36">
        <f t="shared" si="2"/>
        <v>0</v>
      </c>
      <c r="AF71">
        <v>53</v>
      </c>
      <c r="AG71" t="s">
        <v>1598</v>
      </c>
      <c r="AH71">
        <v>2</v>
      </c>
      <c r="AI71" s="35">
        <v>1.1999999999999999E-3</v>
      </c>
      <c r="AK71">
        <v>193</v>
      </c>
      <c r="AL71" t="s">
        <v>1392</v>
      </c>
      <c r="AM71">
        <v>0</v>
      </c>
    </row>
    <row r="72" spans="2:40" x14ac:dyDescent="0.25">
      <c r="B72">
        <v>-72</v>
      </c>
      <c r="C72" t="s">
        <v>69</v>
      </c>
      <c r="D72" s="1">
        <f t="shared" si="3"/>
        <v>412</v>
      </c>
      <c r="E72" s="2">
        <v>57</v>
      </c>
      <c r="F72" s="3">
        <v>73</v>
      </c>
      <c r="G72" s="4">
        <v>108</v>
      </c>
      <c r="H72" s="5">
        <v>40</v>
      </c>
      <c r="I72" s="4">
        <v>95</v>
      </c>
      <c r="J72" s="6">
        <v>39</v>
      </c>
      <c r="K72">
        <v>412</v>
      </c>
      <c r="M72" t="s">
        <v>206</v>
      </c>
      <c r="N72">
        <v>72</v>
      </c>
      <c r="O72">
        <v>93.5</v>
      </c>
      <c r="P72">
        <v>89.2</v>
      </c>
      <c r="Q72">
        <v>69.2</v>
      </c>
      <c r="R72">
        <v>75.7</v>
      </c>
      <c r="S72">
        <v>73.7</v>
      </c>
      <c r="T72">
        <v>19</v>
      </c>
      <c r="X72" s="10" t="s">
        <v>248</v>
      </c>
      <c r="Z72">
        <v>286</v>
      </c>
      <c r="AA72" t="s">
        <v>1201</v>
      </c>
      <c r="AB72">
        <v>0</v>
      </c>
      <c r="AC72" s="35">
        <v>0</v>
      </c>
      <c r="AD72" s="36">
        <f t="shared" si="2"/>
        <v>0</v>
      </c>
      <c r="AF72">
        <v>55</v>
      </c>
      <c r="AG72" t="s">
        <v>1600</v>
      </c>
      <c r="AH72">
        <v>2</v>
      </c>
      <c r="AI72" s="35">
        <v>1.1999999999999999E-3</v>
      </c>
      <c r="AK72">
        <v>194</v>
      </c>
      <c r="AL72" t="s">
        <v>1421</v>
      </c>
      <c r="AM72">
        <v>0</v>
      </c>
    </row>
    <row r="73" spans="2:40" x14ac:dyDescent="0.25">
      <c r="B73">
        <v>-73</v>
      </c>
      <c r="C73" t="s">
        <v>70</v>
      </c>
      <c r="D73" s="1">
        <f t="shared" si="3"/>
        <v>510</v>
      </c>
      <c r="E73" s="2">
        <v>75</v>
      </c>
      <c r="F73" s="3">
        <v>110</v>
      </c>
      <c r="G73" s="4">
        <v>110</v>
      </c>
      <c r="H73" s="5">
        <v>75</v>
      </c>
      <c r="I73" s="4">
        <v>100</v>
      </c>
      <c r="J73" s="6">
        <v>40</v>
      </c>
      <c r="K73">
        <v>510</v>
      </c>
      <c r="M73" t="s">
        <v>184</v>
      </c>
      <c r="N73">
        <v>75.5</v>
      </c>
      <c r="O73">
        <v>88.7</v>
      </c>
      <c r="P73">
        <v>72.3</v>
      </c>
      <c r="Q73">
        <v>74.099999999999994</v>
      </c>
      <c r="R73">
        <v>81.400000000000006</v>
      </c>
      <c r="S73">
        <v>72.2</v>
      </c>
      <c r="T73">
        <v>19</v>
      </c>
      <c r="X73" s="10" t="s">
        <v>249</v>
      </c>
      <c r="Z73">
        <v>287</v>
      </c>
      <c r="AA73" t="s">
        <v>1202</v>
      </c>
      <c r="AB73">
        <v>0</v>
      </c>
      <c r="AC73" s="35">
        <v>0</v>
      </c>
      <c r="AD73" s="36">
        <f t="shared" si="2"/>
        <v>0</v>
      </c>
      <c r="AF73">
        <v>59</v>
      </c>
      <c r="AG73" t="s">
        <v>1604</v>
      </c>
      <c r="AH73">
        <v>2</v>
      </c>
      <c r="AI73" s="35">
        <v>1.1999999999999999E-3</v>
      </c>
      <c r="AK73">
        <v>196</v>
      </c>
      <c r="AL73" t="s">
        <v>1535</v>
      </c>
      <c r="AM73">
        <v>0</v>
      </c>
    </row>
    <row r="74" spans="2:40" x14ac:dyDescent="0.25">
      <c r="B74">
        <v>-74</v>
      </c>
      <c r="C74" t="s">
        <v>71</v>
      </c>
      <c r="D74" s="1">
        <f t="shared" si="3"/>
        <v>306</v>
      </c>
      <c r="E74" s="2">
        <v>30</v>
      </c>
      <c r="F74" s="3">
        <v>20</v>
      </c>
      <c r="G74" s="4">
        <v>40</v>
      </c>
      <c r="H74" s="5">
        <v>103</v>
      </c>
      <c r="I74" s="4">
        <v>30</v>
      </c>
      <c r="J74" s="6">
        <v>83</v>
      </c>
      <c r="K74">
        <v>306</v>
      </c>
      <c r="M74" t="s">
        <v>175</v>
      </c>
      <c r="N74">
        <v>69.8</v>
      </c>
      <c r="O74">
        <v>77.099999999999994</v>
      </c>
      <c r="P74">
        <v>66.7</v>
      </c>
      <c r="Q74">
        <v>61.1</v>
      </c>
      <c r="R74">
        <v>64.3</v>
      </c>
      <c r="S74">
        <v>67</v>
      </c>
      <c r="T74">
        <v>18</v>
      </c>
      <c r="X74" s="11" t="s">
        <v>180</v>
      </c>
      <c r="Z74">
        <v>288</v>
      </c>
      <c r="AA74" t="s">
        <v>1203</v>
      </c>
      <c r="AB74">
        <v>0</v>
      </c>
      <c r="AC74" s="35">
        <v>0</v>
      </c>
      <c r="AD74" s="36">
        <f t="shared" si="2"/>
        <v>0</v>
      </c>
      <c r="AF74">
        <v>62</v>
      </c>
      <c r="AG74" t="s">
        <v>438</v>
      </c>
      <c r="AH74">
        <v>2</v>
      </c>
      <c r="AI74" s="35">
        <v>1.1999999999999999E-3</v>
      </c>
      <c r="AK74">
        <v>204</v>
      </c>
      <c r="AL74" t="s">
        <v>1423</v>
      </c>
      <c r="AM74">
        <v>0</v>
      </c>
      <c r="AN74" t="s">
        <v>1557</v>
      </c>
    </row>
    <row r="75" spans="2:40" x14ac:dyDescent="0.25">
      <c r="B75">
        <v>-75</v>
      </c>
      <c r="C75" t="s">
        <v>72</v>
      </c>
      <c r="D75" s="1">
        <f t="shared" si="3"/>
        <v>400</v>
      </c>
      <c r="E75" s="2">
        <v>43</v>
      </c>
      <c r="F75" s="3">
        <v>88</v>
      </c>
      <c r="G75" s="4">
        <v>50</v>
      </c>
      <c r="H75" s="5">
        <v>74</v>
      </c>
      <c r="I75" s="4">
        <v>52</v>
      </c>
      <c r="J75" s="6">
        <v>93</v>
      </c>
      <c r="K75">
        <v>400</v>
      </c>
      <c r="M75" t="s">
        <v>1078</v>
      </c>
      <c r="N75" s="38">
        <f>SUBTOTAL(101,Table1[HP])</f>
        <v>71.09</v>
      </c>
      <c r="O75" s="39">
        <f>SUBTOTAL(101,Table1[Atk])</f>
        <v>80.470000000000013</v>
      </c>
      <c r="P75" s="40">
        <f>SUBTOTAL(101,Table1[Def])</f>
        <v>73.830000000000013</v>
      </c>
      <c r="Q75" s="41">
        <f>SUBTOTAL(101,Table1[SpA])</f>
        <v>73.559999999999988</v>
      </c>
      <c r="R75" s="40">
        <f>SUBTOTAL(101,Table1[SpD])</f>
        <v>74.335000000000008</v>
      </c>
      <c r="S75" s="42">
        <f>SUBTOTAL(101,Table1[Spe])</f>
        <v>72.03</v>
      </c>
      <c r="T75" s="32">
        <f>SUBTOTAL(101,Table1[Amt])</f>
        <v>26.3</v>
      </c>
      <c r="X75" s="10" t="s">
        <v>250</v>
      </c>
      <c r="Z75">
        <v>289</v>
      </c>
      <c r="AA75" t="s">
        <v>1204</v>
      </c>
      <c r="AB75">
        <v>0</v>
      </c>
      <c r="AC75" s="35">
        <v>0</v>
      </c>
      <c r="AD75" s="36">
        <f t="shared" si="2"/>
        <v>0</v>
      </c>
      <c r="AF75">
        <v>68</v>
      </c>
      <c r="AG75" t="s">
        <v>444</v>
      </c>
      <c r="AH75">
        <v>2</v>
      </c>
      <c r="AI75" s="35">
        <v>1.1999999999999999E-3</v>
      </c>
      <c r="AK75">
        <v>205</v>
      </c>
      <c r="AL75" t="s">
        <v>1424</v>
      </c>
      <c r="AM75">
        <v>0</v>
      </c>
    </row>
    <row r="76" spans="2:40" x14ac:dyDescent="0.25">
      <c r="B76">
        <v>-76</v>
      </c>
      <c r="C76" t="s">
        <v>73</v>
      </c>
      <c r="D76" s="1">
        <f t="shared" si="3"/>
        <v>516</v>
      </c>
      <c r="E76" s="2">
        <v>65</v>
      </c>
      <c r="F76" s="3">
        <v>115</v>
      </c>
      <c r="G76" s="4">
        <v>55</v>
      </c>
      <c r="H76" s="5">
        <v>106</v>
      </c>
      <c r="I76" s="4">
        <v>75</v>
      </c>
      <c r="J76" s="6">
        <v>100</v>
      </c>
      <c r="K76">
        <v>516</v>
      </c>
      <c r="X76" t="s">
        <v>251</v>
      </c>
      <c r="Z76">
        <v>290</v>
      </c>
      <c r="AA76" t="s">
        <v>1170</v>
      </c>
      <c r="AB76">
        <v>0</v>
      </c>
      <c r="AC76" s="35">
        <v>0</v>
      </c>
      <c r="AD76" s="36">
        <f t="shared" si="2"/>
        <v>0</v>
      </c>
      <c r="AF76">
        <v>71</v>
      </c>
      <c r="AG76" t="s">
        <v>447</v>
      </c>
      <c r="AH76">
        <v>2</v>
      </c>
      <c r="AI76" s="35">
        <v>1.1999999999999999E-3</v>
      </c>
      <c r="AK76">
        <v>206</v>
      </c>
      <c r="AL76" t="s">
        <v>1425</v>
      </c>
      <c r="AM76">
        <v>0</v>
      </c>
    </row>
    <row r="77" spans="2:40" x14ac:dyDescent="0.25">
      <c r="B77">
        <v>-77</v>
      </c>
      <c r="C77" t="s">
        <v>74</v>
      </c>
      <c r="D77" s="1">
        <f t="shared" si="3"/>
        <v>360</v>
      </c>
      <c r="E77" s="2">
        <v>70</v>
      </c>
      <c r="F77" s="3">
        <v>53</v>
      </c>
      <c r="G77" s="4">
        <v>70</v>
      </c>
      <c r="H77" s="5">
        <v>55</v>
      </c>
      <c r="I77" s="4">
        <v>60</v>
      </c>
      <c r="J77" s="6">
        <v>52</v>
      </c>
      <c r="K77">
        <v>360</v>
      </c>
      <c r="X77" s="10" t="s">
        <v>252</v>
      </c>
      <c r="Z77">
        <v>291</v>
      </c>
      <c r="AA77" t="s">
        <v>1171</v>
      </c>
      <c r="AB77">
        <v>0</v>
      </c>
      <c r="AC77" s="35">
        <v>0</v>
      </c>
      <c r="AD77" s="36">
        <f t="shared" si="2"/>
        <v>0</v>
      </c>
      <c r="AF77">
        <v>73</v>
      </c>
      <c r="AG77" t="s">
        <v>1611</v>
      </c>
      <c r="AH77">
        <v>2</v>
      </c>
      <c r="AI77" s="35">
        <v>1.1999999999999999E-3</v>
      </c>
      <c r="AK77">
        <v>208</v>
      </c>
      <c r="AL77" t="s">
        <v>1426</v>
      </c>
      <c r="AM77">
        <v>0</v>
      </c>
    </row>
    <row r="78" spans="2:40" x14ac:dyDescent="0.25">
      <c r="B78">
        <v>-78</v>
      </c>
      <c r="C78" t="s">
        <v>75</v>
      </c>
      <c r="D78" s="1">
        <f t="shared" si="3"/>
        <v>460</v>
      </c>
      <c r="E78" s="2">
        <v>75</v>
      </c>
      <c r="F78" s="3">
        <v>55</v>
      </c>
      <c r="G78" s="4">
        <v>75</v>
      </c>
      <c r="H78" s="5">
        <v>105</v>
      </c>
      <c r="I78" s="4">
        <v>75</v>
      </c>
      <c r="J78" s="6">
        <v>75</v>
      </c>
      <c r="K78">
        <v>460</v>
      </c>
      <c r="X78" s="10" t="s">
        <v>253</v>
      </c>
      <c r="Z78">
        <v>18</v>
      </c>
      <c r="AA78" t="s">
        <v>1579</v>
      </c>
      <c r="AB78">
        <v>1</v>
      </c>
      <c r="AC78" s="35">
        <v>0.01</v>
      </c>
      <c r="AD78" s="36">
        <f t="shared" si="2"/>
        <v>0.01</v>
      </c>
      <c r="AF78">
        <v>75</v>
      </c>
      <c r="AG78" t="s">
        <v>451</v>
      </c>
      <c r="AH78">
        <v>2</v>
      </c>
      <c r="AI78" s="35">
        <v>1.1999999999999999E-3</v>
      </c>
      <c r="AK78">
        <v>209</v>
      </c>
      <c r="AL78" t="s">
        <v>1427</v>
      </c>
      <c r="AM78">
        <v>0</v>
      </c>
      <c r="AN78" t="s">
        <v>1558</v>
      </c>
    </row>
    <row r="79" spans="2:40" x14ac:dyDescent="0.25">
      <c r="B79">
        <v>-79</v>
      </c>
      <c r="C79" t="s">
        <v>76</v>
      </c>
      <c r="D79" s="1">
        <f t="shared" si="3"/>
        <v>560</v>
      </c>
      <c r="E79" s="2">
        <v>95</v>
      </c>
      <c r="F79" s="3">
        <v>75</v>
      </c>
      <c r="G79" s="4">
        <v>87</v>
      </c>
      <c r="H79" s="5">
        <v>140</v>
      </c>
      <c r="I79" s="4">
        <v>80</v>
      </c>
      <c r="J79" s="6">
        <v>83</v>
      </c>
      <c r="K79">
        <v>560</v>
      </c>
      <c r="X79" t="s">
        <v>254</v>
      </c>
      <c r="Z79">
        <v>212</v>
      </c>
      <c r="AA79" t="s">
        <v>548</v>
      </c>
      <c r="AB79">
        <v>2</v>
      </c>
      <c r="AC79" s="35">
        <v>0.01</v>
      </c>
      <c r="AD79" s="36">
        <f t="shared" si="2"/>
        <v>0.02</v>
      </c>
      <c r="AF79">
        <v>76</v>
      </c>
      <c r="AG79" t="s">
        <v>452</v>
      </c>
      <c r="AH79">
        <v>2</v>
      </c>
      <c r="AI79" s="35">
        <v>1.1999999999999999E-3</v>
      </c>
      <c r="AK79">
        <v>214</v>
      </c>
      <c r="AL79" t="s">
        <v>1429</v>
      </c>
      <c r="AM79">
        <v>0</v>
      </c>
    </row>
    <row r="80" spans="2:40" x14ac:dyDescent="0.25">
      <c r="B80">
        <v>-80</v>
      </c>
      <c r="C80" t="s">
        <v>77</v>
      </c>
      <c r="D80" s="1">
        <f t="shared" si="3"/>
        <v>407</v>
      </c>
      <c r="E80" s="2">
        <v>55</v>
      </c>
      <c r="F80" s="3">
        <v>40</v>
      </c>
      <c r="G80" s="4">
        <v>105</v>
      </c>
      <c r="H80" s="5">
        <v>100</v>
      </c>
      <c r="I80" s="4">
        <v>65</v>
      </c>
      <c r="J80" s="6">
        <v>42</v>
      </c>
      <c r="K80">
        <v>407</v>
      </c>
      <c r="X80" t="s">
        <v>255</v>
      </c>
      <c r="Z80">
        <v>214</v>
      </c>
      <c r="AA80" t="s">
        <v>550</v>
      </c>
      <c r="AB80">
        <v>2</v>
      </c>
      <c r="AC80" s="35">
        <v>0.01</v>
      </c>
      <c r="AD80" s="36">
        <f t="shared" si="2"/>
        <v>0.02</v>
      </c>
      <c r="AF80">
        <v>83</v>
      </c>
      <c r="AG80" t="s">
        <v>459</v>
      </c>
      <c r="AH80">
        <v>2</v>
      </c>
      <c r="AI80" s="35">
        <v>1.1999999999999999E-3</v>
      </c>
      <c r="AK80">
        <v>215</v>
      </c>
      <c r="AL80" t="s">
        <v>1430</v>
      </c>
      <c r="AM80">
        <v>0</v>
      </c>
    </row>
    <row r="81" spans="2:40" x14ac:dyDescent="0.25">
      <c r="B81">
        <v>-81</v>
      </c>
      <c r="C81" t="s">
        <v>78</v>
      </c>
      <c r="D81" s="1">
        <f t="shared" si="3"/>
        <v>482</v>
      </c>
      <c r="E81" s="2">
        <v>60</v>
      </c>
      <c r="F81" s="3">
        <v>90</v>
      </c>
      <c r="G81" s="4">
        <v>95</v>
      </c>
      <c r="H81" s="5">
        <v>90</v>
      </c>
      <c r="I81" s="4">
        <v>65</v>
      </c>
      <c r="J81" s="6">
        <v>82</v>
      </c>
      <c r="K81">
        <v>482</v>
      </c>
      <c r="X81" s="10" t="s">
        <v>256</v>
      </c>
      <c r="Z81">
        <v>130</v>
      </c>
      <c r="AA81" t="s">
        <v>581</v>
      </c>
      <c r="AB81">
        <v>1</v>
      </c>
      <c r="AC81" s="35">
        <v>0.02</v>
      </c>
      <c r="AD81" s="36">
        <f t="shared" si="2"/>
        <v>0.02</v>
      </c>
      <c r="AF81">
        <v>94</v>
      </c>
      <c r="AG81" t="s">
        <v>1618</v>
      </c>
      <c r="AH81">
        <v>2</v>
      </c>
      <c r="AI81" s="35">
        <v>1.1999999999999999E-3</v>
      </c>
      <c r="AK81">
        <v>216</v>
      </c>
      <c r="AL81" t="s">
        <v>1431</v>
      </c>
      <c r="AM81">
        <v>0</v>
      </c>
    </row>
    <row r="82" spans="2:40" x14ac:dyDescent="0.25">
      <c r="B82">
        <v>-82</v>
      </c>
      <c r="C82" t="s">
        <v>79</v>
      </c>
      <c r="D82" s="1">
        <f t="shared" si="3"/>
        <v>405</v>
      </c>
      <c r="E82" s="2">
        <v>95</v>
      </c>
      <c r="F82" s="3">
        <v>40</v>
      </c>
      <c r="G82" s="4">
        <v>55</v>
      </c>
      <c r="H82" s="5">
        <v>58</v>
      </c>
      <c r="I82" s="4">
        <v>95</v>
      </c>
      <c r="J82" s="6">
        <v>62</v>
      </c>
      <c r="K82">
        <v>405</v>
      </c>
      <c r="X82" s="10" t="s">
        <v>257</v>
      </c>
      <c r="Z82">
        <v>283</v>
      </c>
      <c r="AA82" t="s">
        <v>1198</v>
      </c>
      <c r="AB82">
        <v>1</v>
      </c>
      <c r="AC82" s="35">
        <v>0.02</v>
      </c>
      <c r="AD82" s="36">
        <f t="shared" si="2"/>
        <v>0.02</v>
      </c>
      <c r="AF82">
        <v>95</v>
      </c>
      <c r="AG82" t="s">
        <v>1619</v>
      </c>
      <c r="AH82">
        <v>2</v>
      </c>
      <c r="AI82" s="35">
        <v>1.1999999999999999E-3</v>
      </c>
      <c r="AK82">
        <v>217</v>
      </c>
      <c r="AL82" t="s">
        <v>1432</v>
      </c>
      <c r="AM82">
        <v>0</v>
      </c>
    </row>
    <row r="83" spans="2:40" x14ac:dyDescent="0.25">
      <c r="B83">
        <v>-83</v>
      </c>
      <c r="C83" t="s">
        <v>80</v>
      </c>
      <c r="D83" s="1">
        <f t="shared" si="3"/>
        <v>485</v>
      </c>
      <c r="E83" s="2">
        <v>95</v>
      </c>
      <c r="F83" s="3">
        <v>60</v>
      </c>
      <c r="G83" s="4">
        <v>63</v>
      </c>
      <c r="H83" s="5">
        <v>105</v>
      </c>
      <c r="I83" s="4">
        <v>95</v>
      </c>
      <c r="J83" s="6">
        <v>67</v>
      </c>
      <c r="K83">
        <v>485</v>
      </c>
      <c r="X83" s="10" t="s">
        <v>258</v>
      </c>
      <c r="Z83">
        <v>264</v>
      </c>
      <c r="AA83" t="s">
        <v>1153</v>
      </c>
      <c r="AB83">
        <v>3</v>
      </c>
      <c r="AC83" s="35">
        <v>0.01</v>
      </c>
      <c r="AD83" s="36">
        <f t="shared" si="2"/>
        <v>0.03</v>
      </c>
      <c r="AF83">
        <v>98</v>
      </c>
      <c r="AG83" t="s">
        <v>474</v>
      </c>
      <c r="AH83">
        <v>2</v>
      </c>
      <c r="AI83" s="35">
        <v>1.1999999999999999E-3</v>
      </c>
      <c r="AK83">
        <v>225</v>
      </c>
      <c r="AL83" t="s">
        <v>1291</v>
      </c>
      <c r="AM83">
        <v>0</v>
      </c>
    </row>
    <row r="84" spans="2:40" x14ac:dyDescent="0.25">
      <c r="B84">
        <v>-84</v>
      </c>
      <c r="C84" t="s">
        <v>81</v>
      </c>
      <c r="D84" s="1">
        <f t="shared" si="3"/>
        <v>396</v>
      </c>
      <c r="E84" s="2">
        <v>60</v>
      </c>
      <c r="F84" s="3">
        <v>55</v>
      </c>
      <c r="G84" s="4">
        <v>60</v>
      </c>
      <c r="H84" s="5">
        <v>75</v>
      </c>
      <c r="I84" s="4">
        <v>80</v>
      </c>
      <c r="J84" s="6">
        <v>66</v>
      </c>
      <c r="K84">
        <v>396</v>
      </c>
      <c r="X84" t="s">
        <v>259</v>
      </c>
      <c r="Z84">
        <v>28</v>
      </c>
      <c r="AA84" t="s">
        <v>1588</v>
      </c>
      <c r="AB84">
        <v>2</v>
      </c>
      <c r="AC84" s="35">
        <v>1.4999999999999999E-2</v>
      </c>
      <c r="AD84" s="36">
        <f t="shared" si="2"/>
        <v>0.03</v>
      </c>
      <c r="AF84">
        <v>99</v>
      </c>
      <c r="AG84" t="s">
        <v>75</v>
      </c>
      <c r="AH84">
        <v>2</v>
      </c>
      <c r="AI84" s="35">
        <v>1.1999999999999999E-3</v>
      </c>
      <c r="AK84">
        <v>231</v>
      </c>
      <c r="AL84" t="s">
        <v>1433</v>
      </c>
      <c r="AM84">
        <v>0</v>
      </c>
      <c r="AN84" t="s">
        <v>1556</v>
      </c>
    </row>
    <row r="85" spans="2:40" x14ac:dyDescent="0.25">
      <c r="B85">
        <v>-85</v>
      </c>
      <c r="C85" t="s">
        <v>82</v>
      </c>
      <c r="D85" s="1">
        <f t="shared" si="3"/>
        <v>483</v>
      </c>
      <c r="E85" s="2">
        <v>65</v>
      </c>
      <c r="F85" s="3">
        <v>59</v>
      </c>
      <c r="G85" s="4">
        <v>63</v>
      </c>
      <c r="H85" s="5">
        <v>100</v>
      </c>
      <c r="I85" s="4">
        <v>96</v>
      </c>
      <c r="J85" s="6">
        <v>100</v>
      </c>
      <c r="K85">
        <v>483</v>
      </c>
      <c r="X85" s="12" t="s">
        <v>260</v>
      </c>
      <c r="Y85" t="s">
        <v>425</v>
      </c>
      <c r="Z85">
        <v>116</v>
      </c>
      <c r="AA85" t="s">
        <v>486</v>
      </c>
      <c r="AB85">
        <v>1</v>
      </c>
      <c r="AC85" s="35">
        <v>0.03</v>
      </c>
      <c r="AD85" s="36">
        <f t="shared" si="2"/>
        <v>0.03</v>
      </c>
      <c r="AF85">
        <v>101</v>
      </c>
      <c r="AG85" t="s">
        <v>475</v>
      </c>
      <c r="AH85">
        <v>2</v>
      </c>
      <c r="AI85" s="35">
        <v>1.1999999999999999E-3</v>
      </c>
      <c r="AK85">
        <v>232</v>
      </c>
      <c r="AL85" t="s">
        <v>1434</v>
      </c>
      <c r="AM85">
        <v>0</v>
      </c>
    </row>
    <row r="86" spans="2:40" x14ac:dyDescent="0.25">
      <c r="B86">
        <v>-86</v>
      </c>
      <c r="C86" t="s">
        <v>171</v>
      </c>
      <c r="D86" s="1">
        <f t="shared" si="3"/>
        <v>381</v>
      </c>
      <c r="E86" s="2">
        <v>65</v>
      </c>
      <c r="F86" s="3">
        <v>69</v>
      </c>
      <c r="G86" s="4">
        <v>80</v>
      </c>
      <c r="H86" s="5">
        <v>30</v>
      </c>
      <c r="I86" s="4">
        <v>70</v>
      </c>
      <c r="J86" s="6">
        <v>67</v>
      </c>
      <c r="K86">
        <v>381</v>
      </c>
      <c r="X86" t="s">
        <v>261</v>
      </c>
      <c r="Z86">
        <v>34</v>
      </c>
      <c r="AA86" t="s">
        <v>418</v>
      </c>
      <c r="AB86">
        <v>1</v>
      </c>
      <c r="AC86" s="35">
        <v>0.04</v>
      </c>
      <c r="AD86" s="36">
        <f t="shared" si="2"/>
        <v>0.04</v>
      </c>
      <c r="AF86">
        <v>106</v>
      </c>
      <c r="AG86" t="s">
        <v>99</v>
      </c>
      <c r="AH86">
        <v>2</v>
      </c>
      <c r="AI86" s="35">
        <v>1.1999999999999999E-3</v>
      </c>
      <c r="AK86">
        <v>234</v>
      </c>
      <c r="AL86" t="s">
        <v>1435</v>
      </c>
      <c r="AM86">
        <v>0</v>
      </c>
      <c r="AN86" t="s">
        <v>1557</v>
      </c>
    </row>
    <row r="87" spans="2:40" x14ac:dyDescent="0.25">
      <c r="B87">
        <v>-87</v>
      </c>
      <c r="C87" t="s">
        <v>172</v>
      </c>
      <c r="D87" s="1">
        <f t="shared" si="3"/>
        <v>545</v>
      </c>
      <c r="E87" s="2">
        <v>95</v>
      </c>
      <c r="F87" s="3">
        <v>110</v>
      </c>
      <c r="G87" s="4">
        <v>125</v>
      </c>
      <c r="H87" s="5">
        <v>70</v>
      </c>
      <c r="I87" s="4">
        <v>75</v>
      </c>
      <c r="J87" s="6">
        <v>70</v>
      </c>
      <c r="K87">
        <v>545</v>
      </c>
      <c r="X87" t="s">
        <v>262</v>
      </c>
      <c r="Z87">
        <v>165</v>
      </c>
      <c r="AA87" t="s">
        <v>517</v>
      </c>
      <c r="AB87">
        <v>1</v>
      </c>
      <c r="AC87" s="35">
        <v>0.04</v>
      </c>
      <c r="AD87" s="36">
        <f t="shared" si="2"/>
        <v>0.04</v>
      </c>
      <c r="AF87">
        <v>108</v>
      </c>
      <c r="AG87" t="s">
        <v>480</v>
      </c>
      <c r="AH87">
        <v>2</v>
      </c>
      <c r="AI87" s="35">
        <v>1.1999999999999999E-3</v>
      </c>
      <c r="AK87">
        <v>235</v>
      </c>
      <c r="AL87" t="s">
        <v>1436</v>
      </c>
      <c r="AM87">
        <v>0</v>
      </c>
    </row>
    <row r="88" spans="2:40" x14ac:dyDescent="0.25">
      <c r="B88">
        <v>-88</v>
      </c>
      <c r="C88" t="s">
        <v>83</v>
      </c>
      <c r="D88" s="1">
        <f t="shared" si="3"/>
        <v>500</v>
      </c>
      <c r="E88" s="2">
        <v>55</v>
      </c>
      <c r="F88" s="3">
        <v>165</v>
      </c>
      <c r="G88" s="4">
        <v>105</v>
      </c>
      <c r="H88" s="5">
        <v>15</v>
      </c>
      <c r="I88" s="4">
        <v>45</v>
      </c>
      <c r="J88" s="6">
        <v>115</v>
      </c>
      <c r="K88">
        <v>500</v>
      </c>
      <c r="X88" s="10" t="s">
        <v>263</v>
      </c>
      <c r="Z88">
        <v>258</v>
      </c>
      <c r="AA88" t="s">
        <v>1136</v>
      </c>
      <c r="AB88">
        <v>2</v>
      </c>
      <c r="AC88" s="35">
        <v>2.5000000000000001E-2</v>
      </c>
      <c r="AD88" s="36">
        <f t="shared" si="2"/>
        <v>0.05</v>
      </c>
      <c r="AF88">
        <v>112</v>
      </c>
      <c r="AG88" t="s">
        <v>44</v>
      </c>
      <c r="AH88">
        <v>2</v>
      </c>
      <c r="AI88" s="35">
        <v>1.1999999999999999E-3</v>
      </c>
      <c r="AK88">
        <v>236</v>
      </c>
      <c r="AL88" t="s">
        <v>1536</v>
      </c>
      <c r="AM88">
        <v>0</v>
      </c>
    </row>
    <row r="89" spans="2:40" x14ac:dyDescent="0.25">
      <c r="B89">
        <v>-89</v>
      </c>
      <c r="C89" t="s">
        <v>84</v>
      </c>
      <c r="D89" s="1">
        <f t="shared" si="3"/>
        <v>365</v>
      </c>
      <c r="E89" s="2">
        <v>55</v>
      </c>
      <c r="F89" s="3">
        <v>65</v>
      </c>
      <c r="G89" s="4">
        <v>55</v>
      </c>
      <c r="H89" s="5">
        <v>60</v>
      </c>
      <c r="I89" s="4">
        <v>60</v>
      </c>
      <c r="J89" s="6">
        <v>70</v>
      </c>
      <c r="K89">
        <v>365</v>
      </c>
      <c r="X89" t="s">
        <v>264</v>
      </c>
      <c r="Z89">
        <v>239</v>
      </c>
      <c r="AA89" t="s">
        <v>802</v>
      </c>
      <c r="AB89">
        <v>1</v>
      </c>
      <c r="AC89" s="35">
        <v>0.06</v>
      </c>
      <c r="AD89" s="36">
        <f t="shared" si="2"/>
        <v>0.06</v>
      </c>
      <c r="AF89">
        <v>114</v>
      </c>
      <c r="AG89" t="s">
        <v>484</v>
      </c>
      <c r="AH89">
        <v>2</v>
      </c>
      <c r="AI89" s="35">
        <v>1.1999999999999999E-3</v>
      </c>
      <c r="AK89">
        <v>238</v>
      </c>
      <c r="AL89" t="s">
        <v>1437</v>
      </c>
      <c r="AM89">
        <v>0</v>
      </c>
      <c r="AN89" t="s">
        <v>1557</v>
      </c>
    </row>
    <row r="90" spans="2:40" x14ac:dyDescent="0.25">
      <c r="B90">
        <v>-90</v>
      </c>
      <c r="C90" t="s">
        <v>85</v>
      </c>
      <c r="D90" s="1">
        <f t="shared" si="3"/>
        <v>505</v>
      </c>
      <c r="E90" s="2">
        <v>105</v>
      </c>
      <c r="F90" s="3">
        <v>110</v>
      </c>
      <c r="G90" s="4">
        <v>65</v>
      </c>
      <c r="H90" s="5">
        <v>60</v>
      </c>
      <c r="I90" s="4">
        <v>95</v>
      </c>
      <c r="J90" s="6">
        <v>70</v>
      </c>
      <c r="K90">
        <v>505</v>
      </c>
      <c r="X90" t="s">
        <v>265</v>
      </c>
      <c r="Z90">
        <v>118</v>
      </c>
      <c r="AA90" t="s">
        <v>488</v>
      </c>
      <c r="AB90">
        <v>2</v>
      </c>
      <c r="AC90" s="35">
        <v>3.5000000000000003E-2</v>
      </c>
      <c r="AD90" s="36">
        <f t="shared" si="2"/>
        <v>7.0000000000000007E-2</v>
      </c>
      <c r="AF90">
        <v>134</v>
      </c>
      <c r="AG90" t="s">
        <v>496</v>
      </c>
      <c r="AH90">
        <v>2</v>
      </c>
      <c r="AI90" s="35">
        <v>1.1999999999999999E-3</v>
      </c>
      <c r="AK90">
        <v>239</v>
      </c>
      <c r="AL90" t="s">
        <v>1438</v>
      </c>
      <c r="AM90">
        <v>0</v>
      </c>
      <c r="AN90" t="s">
        <v>1557</v>
      </c>
    </row>
    <row r="91" spans="2:40" x14ac:dyDescent="0.25">
      <c r="B91">
        <v>-91</v>
      </c>
      <c r="C91" t="s">
        <v>86</v>
      </c>
      <c r="D91" s="1">
        <f t="shared" si="3"/>
        <v>550</v>
      </c>
      <c r="E91" s="2">
        <v>55</v>
      </c>
      <c r="F91" s="3">
        <v>110</v>
      </c>
      <c r="G91" s="4">
        <v>75</v>
      </c>
      <c r="H91" s="5">
        <v>110</v>
      </c>
      <c r="I91" s="4">
        <v>100</v>
      </c>
      <c r="J91" s="6">
        <v>100</v>
      </c>
      <c r="K91">
        <v>550</v>
      </c>
      <c r="X91" s="12" t="s">
        <v>182</v>
      </c>
      <c r="Z91">
        <v>207</v>
      </c>
      <c r="AA91" t="s">
        <v>1623</v>
      </c>
      <c r="AB91">
        <v>2</v>
      </c>
      <c r="AC91" s="35">
        <v>0.04</v>
      </c>
      <c r="AD91" s="36">
        <f t="shared" si="2"/>
        <v>0.08</v>
      </c>
      <c r="AF91">
        <v>146</v>
      </c>
      <c r="AG91" t="s">
        <v>504</v>
      </c>
      <c r="AH91">
        <v>2</v>
      </c>
      <c r="AI91" s="35">
        <v>1.1999999999999999E-3</v>
      </c>
      <c r="AK91">
        <v>242</v>
      </c>
      <c r="AL91" t="s">
        <v>1439</v>
      </c>
      <c r="AM91">
        <v>0</v>
      </c>
      <c r="AN91" t="s">
        <v>1557</v>
      </c>
    </row>
    <row r="92" spans="2:40" x14ac:dyDescent="0.25">
      <c r="B92">
        <v>-92</v>
      </c>
      <c r="C92" t="s">
        <v>87</v>
      </c>
      <c r="D92" s="1">
        <f t="shared" si="3"/>
        <v>425</v>
      </c>
      <c r="E92" s="2">
        <v>40</v>
      </c>
      <c r="F92" s="3">
        <v>20</v>
      </c>
      <c r="G92" s="4">
        <v>30</v>
      </c>
      <c r="H92" s="5">
        <v>120</v>
      </c>
      <c r="I92" s="4">
        <v>105</v>
      </c>
      <c r="J92" s="6">
        <v>110</v>
      </c>
      <c r="K92">
        <v>425</v>
      </c>
      <c r="X92" t="s">
        <v>266</v>
      </c>
      <c r="Z92">
        <v>208</v>
      </c>
      <c r="AA92" t="s">
        <v>1624</v>
      </c>
      <c r="AB92">
        <v>2</v>
      </c>
      <c r="AC92" s="35">
        <v>0.04</v>
      </c>
      <c r="AD92" s="36">
        <f t="shared" si="2"/>
        <v>0.08</v>
      </c>
      <c r="AF92">
        <v>151</v>
      </c>
      <c r="AG92" t="s">
        <v>509</v>
      </c>
      <c r="AH92">
        <v>2</v>
      </c>
      <c r="AI92" s="35">
        <v>1.1999999999999999E-3</v>
      </c>
      <c r="AK92">
        <v>243</v>
      </c>
      <c r="AL92" t="s">
        <v>1440</v>
      </c>
      <c r="AM92">
        <v>0</v>
      </c>
    </row>
    <row r="93" spans="2:40" x14ac:dyDescent="0.25">
      <c r="B93">
        <v>-93</v>
      </c>
      <c r="C93" t="s">
        <v>88</v>
      </c>
      <c r="D93" s="1">
        <f t="shared" si="3"/>
        <v>425</v>
      </c>
      <c r="E93" s="2">
        <v>120</v>
      </c>
      <c r="F93" s="3">
        <v>35</v>
      </c>
      <c r="G93" s="4">
        <v>40</v>
      </c>
      <c r="H93" s="5">
        <v>100</v>
      </c>
      <c r="I93" s="4">
        <v>65</v>
      </c>
      <c r="J93" s="6">
        <v>65</v>
      </c>
      <c r="K93">
        <v>425</v>
      </c>
      <c r="X93" s="10" t="s">
        <v>267</v>
      </c>
      <c r="Z93">
        <v>275</v>
      </c>
      <c r="AA93" t="s">
        <v>1160</v>
      </c>
      <c r="AB93">
        <v>2</v>
      </c>
      <c r="AC93" s="35">
        <v>0.04</v>
      </c>
      <c r="AD93" s="36">
        <f t="shared" si="2"/>
        <v>0.08</v>
      </c>
      <c r="AF93">
        <v>154</v>
      </c>
      <c r="AG93" t="s">
        <v>512</v>
      </c>
      <c r="AH93">
        <v>2</v>
      </c>
      <c r="AI93" s="35">
        <v>1.1999999999999999E-3</v>
      </c>
      <c r="AK93">
        <v>244</v>
      </c>
      <c r="AL93" t="s">
        <v>1441</v>
      </c>
      <c r="AM93">
        <v>0</v>
      </c>
    </row>
    <row r="94" spans="2:40" x14ac:dyDescent="0.25">
      <c r="B94">
        <v>-94</v>
      </c>
      <c r="C94" t="s">
        <v>89</v>
      </c>
      <c r="D94" s="1">
        <f t="shared" si="3"/>
        <v>510</v>
      </c>
      <c r="E94" s="2">
        <v>120</v>
      </c>
      <c r="F94" s="3">
        <v>60</v>
      </c>
      <c r="G94" s="4">
        <v>60</v>
      </c>
      <c r="H94" s="5">
        <v>120</v>
      </c>
      <c r="I94" s="4">
        <v>80</v>
      </c>
      <c r="J94" s="6">
        <v>70</v>
      </c>
      <c r="K94">
        <v>510</v>
      </c>
      <c r="X94" t="s">
        <v>268</v>
      </c>
      <c r="Z94">
        <v>39</v>
      </c>
      <c r="AA94" t="s">
        <v>423</v>
      </c>
      <c r="AB94">
        <v>1</v>
      </c>
      <c r="AC94" s="35">
        <v>0.08</v>
      </c>
      <c r="AD94" s="36">
        <f t="shared" ref="AD94:AD157" si="4">AC94*AB94</f>
        <v>0.08</v>
      </c>
      <c r="AF94">
        <v>158</v>
      </c>
      <c r="AG94" t="s">
        <v>39</v>
      </c>
      <c r="AH94">
        <v>2</v>
      </c>
      <c r="AI94" s="35">
        <v>1.1999999999999999E-3</v>
      </c>
      <c r="AK94">
        <v>245</v>
      </c>
      <c r="AL94" t="s">
        <v>1442</v>
      </c>
      <c r="AM94">
        <v>0</v>
      </c>
    </row>
    <row r="95" spans="2:40" x14ac:dyDescent="0.25">
      <c r="B95">
        <v>-95</v>
      </c>
      <c r="C95" t="s">
        <v>90</v>
      </c>
      <c r="D95" s="1">
        <f t="shared" si="3"/>
        <v>316</v>
      </c>
      <c r="E95" s="2">
        <v>30</v>
      </c>
      <c r="F95" s="3">
        <v>60</v>
      </c>
      <c r="G95" s="4">
        <v>73</v>
      </c>
      <c r="H95" s="5">
        <v>30</v>
      </c>
      <c r="I95" s="4">
        <v>65</v>
      </c>
      <c r="J95" s="6">
        <v>58</v>
      </c>
      <c r="K95">
        <v>316</v>
      </c>
      <c r="X95" s="10" t="s">
        <v>269</v>
      </c>
      <c r="Z95">
        <v>40</v>
      </c>
      <c r="AA95" t="s">
        <v>424</v>
      </c>
      <c r="AB95">
        <v>1</v>
      </c>
      <c r="AC95" s="35">
        <v>0.08</v>
      </c>
      <c r="AD95" s="36">
        <f t="shared" si="4"/>
        <v>0.08</v>
      </c>
      <c r="AF95">
        <v>163</v>
      </c>
      <c r="AG95" t="s">
        <v>515</v>
      </c>
      <c r="AH95">
        <v>2</v>
      </c>
      <c r="AI95" s="35">
        <v>1.1999999999999999E-3</v>
      </c>
      <c r="AK95">
        <v>247</v>
      </c>
      <c r="AL95" t="s">
        <v>1443</v>
      </c>
      <c r="AM95">
        <v>0</v>
      </c>
    </row>
    <row r="96" spans="2:40" x14ac:dyDescent="0.25">
      <c r="B96">
        <v>-96</v>
      </c>
      <c r="C96" t="s">
        <v>91</v>
      </c>
      <c r="D96" s="1">
        <f t="shared" si="3"/>
        <v>490</v>
      </c>
      <c r="E96" s="2">
        <v>60</v>
      </c>
      <c r="F96" s="3">
        <v>80</v>
      </c>
      <c r="G96" s="4">
        <v>95</v>
      </c>
      <c r="H96" s="5">
        <v>65</v>
      </c>
      <c r="I96" s="4">
        <v>95</v>
      </c>
      <c r="J96" s="6">
        <v>95</v>
      </c>
      <c r="K96">
        <v>490</v>
      </c>
      <c r="X96" t="s">
        <v>270</v>
      </c>
      <c r="Z96">
        <v>115</v>
      </c>
      <c r="AA96" t="s">
        <v>485</v>
      </c>
      <c r="AB96">
        <v>1</v>
      </c>
      <c r="AC96" s="35">
        <v>0.08</v>
      </c>
      <c r="AD96" s="36">
        <f t="shared" si="4"/>
        <v>0.08</v>
      </c>
      <c r="AF96">
        <v>166</v>
      </c>
      <c r="AG96" t="s">
        <v>68</v>
      </c>
      <c r="AH96">
        <v>2</v>
      </c>
      <c r="AI96" s="35">
        <v>1.1999999999999999E-3</v>
      </c>
      <c r="AK96">
        <v>253</v>
      </c>
      <c r="AL96" t="s">
        <v>1444</v>
      </c>
      <c r="AM96">
        <v>0</v>
      </c>
    </row>
    <row r="97" spans="2:40" x14ac:dyDescent="0.25">
      <c r="B97">
        <v>-97</v>
      </c>
      <c r="C97" t="s">
        <v>92</v>
      </c>
      <c r="D97" s="1">
        <f t="shared" si="3"/>
        <v>330</v>
      </c>
      <c r="E97" s="2">
        <v>50</v>
      </c>
      <c r="F97" s="3">
        <v>70</v>
      </c>
      <c r="G97" s="4">
        <v>55</v>
      </c>
      <c r="H97" s="5">
        <v>50</v>
      </c>
      <c r="I97" s="4">
        <v>50</v>
      </c>
      <c r="J97" s="6">
        <v>55</v>
      </c>
      <c r="K97">
        <v>330</v>
      </c>
      <c r="X97" t="s">
        <v>271</v>
      </c>
      <c r="Z97">
        <v>222</v>
      </c>
      <c r="AA97" t="s">
        <v>799</v>
      </c>
      <c r="AB97">
        <v>3</v>
      </c>
      <c r="AC97" s="35">
        <v>0.03</v>
      </c>
      <c r="AD97" s="36">
        <f t="shared" si="4"/>
        <v>0.09</v>
      </c>
      <c r="AF97">
        <v>167</v>
      </c>
      <c r="AG97" t="s">
        <v>69</v>
      </c>
      <c r="AH97">
        <v>2</v>
      </c>
      <c r="AI97" s="35">
        <v>1.1999999999999999E-3</v>
      </c>
      <c r="AK97">
        <v>256</v>
      </c>
      <c r="AL97" t="s">
        <v>1445</v>
      </c>
      <c r="AM97">
        <v>0</v>
      </c>
    </row>
    <row r="98" spans="2:40" x14ac:dyDescent="0.25">
      <c r="B98">
        <v>-98</v>
      </c>
      <c r="C98" t="s">
        <v>93</v>
      </c>
      <c r="D98" s="1">
        <f t="shared" si="3"/>
        <v>430</v>
      </c>
      <c r="E98" s="2">
        <v>65</v>
      </c>
      <c r="F98" s="3">
        <v>75</v>
      </c>
      <c r="G98" s="4">
        <v>105</v>
      </c>
      <c r="H98" s="5">
        <v>50</v>
      </c>
      <c r="I98" s="4">
        <v>75</v>
      </c>
      <c r="J98" s="6">
        <v>60</v>
      </c>
      <c r="K98">
        <v>430</v>
      </c>
      <c r="X98" s="10" t="s">
        <v>272</v>
      </c>
      <c r="Z98">
        <v>24</v>
      </c>
      <c r="AA98" t="s">
        <v>1585</v>
      </c>
      <c r="AB98">
        <v>2</v>
      </c>
      <c r="AC98" s="35">
        <v>4.4999999999999998E-2</v>
      </c>
      <c r="AD98" s="36">
        <f t="shared" si="4"/>
        <v>0.09</v>
      </c>
      <c r="AF98">
        <v>169</v>
      </c>
      <c r="AG98" t="s">
        <v>518</v>
      </c>
      <c r="AH98">
        <v>2</v>
      </c>
      <c r="AI98" s="35">
        <v>1.1999999999999999E-3</v>
      </c>
      <c r="AK98">
        <v>259</v>
      </c>
      <c r="AL98" t="s">
        <v>1447</v>
      </c>
      <c r="AM98">
        <v>0</v>
      </c>
    </row>
    <row r="99" spans="2:40" x14ac:dyDescent="0.25">
      <c r="B99">
        <v>-99</v>
      </c>
      <c r="C99" t="s">
        <v>94</v>
      </c>
      <c r="D99" s="1">
        <f t="shared" si="3"/>
        <v>530</v>
      </c>
      <c r="E99" s="2">
        <v>70</v>
      </c>
      <c r="F99" s="3">
        <v>115</v>
      </c>
      <c r="G99" s="4">
        <v>115</v>
      </c>
      <c r="H99" s="5">
        <v>90</v>
      </c>
      <c r="I99" s="4">
        <v>75</v>
      </c>
      <c r="J99" s="6">
        <v>65</v>
      </c>
      <c r="K99">
        <v>530</v>
      </c>
      <c r="X99" s="10" t="s">
        <v>273</v>
      </c>
      <c r="Z99">
        <v>102</v>
      </c>
      <c r="AA99" t="s">
        <v>476</v>
      </c>
      <c r="AB99">
        <v>2</v>
      </c>
      <c r="AC99" s="35">
        <v>4.4999999999999998E-2</v>
      </c>
      <c r="AD99" s="36">
        <f t="shared" si="4"/>
        <v>0.09</v>
      </c>
      <c r="AF99">
        <v>171</v>
      </c>
      <c r="AG99" t="s">
        <v>520</v>
      </c>
      <c r="AH99">
        <v>2</v>
      </c>
      <c r="AI99" s="35">
        <v>1.1999999999999999E-3</v>
      </c>
      <c r="AK99">
        <v>260</v>
      </c>
      <c r="AL99" t="s">
        <v>1543</v>
      </c>
      <c r="AM99">
        <v>0</v>
      </c>
    </row>
    <row r="100" spans="2:40" x14ac:dyDescent="0.25">
      <c r="B100">
        <v>-100</v>
      </c>
      <c r="C100" t="s">
        <v>95</v>
      </c>
      <c r="D100" s="1">
        <f t="shared" si="3"/>
        <v>350</v>
      </c>
      <c r="E100" s="2">
        <v>80</v>
      </c>
      <c r="F100" s="3">
        <v>40</v>
      </c>
      <c r="G100" s="4">
        <v>57</v>
      </c>
      <c r="H100" s="5">
        <v>63</v>
      </c>
      <c r="I100" s="4">
        <v>59</v>
      </c>
      <c r="J100" s="6">
        <v>51</v>
      </c>
      <c r="K100">
        <v>350</v>
      </c>
      <c r="X100" s="10" t="s">
        <v>274</v>
      </c>
      <c r="Z100">
        <v>121</v>
      </c>
      <c r="AA100" t="s">
        <v>91</v>
      </c>
      <c r="AB100">
        <v>1</v>
      </c>
      <c r="AC100" s="35">
        <v>0.09</v>
      </c>
      <c r="AD100" s="36">
        <f t="shared" si="4"/>
        <v>0.09</v>
      </c>
      <c r="AF100">
        <v>174</v>
      </c>
      <c r="AG100" t="s">
        <v>569</v>
      </c>
      <c r="AH100">
        <v>2</v>
      </c>
      <c r="AI100" s="35">
        <v>1.1999999999999999E-3</v>
      </c>
      <c r="AK100">
        <v>263</v>
      </c>
      <c r="AL100" t="s">
        <v>1448</v>
      </c>
      <c r="AM100">
        <v>0</v>
      </c>
      <c r="AN100" t="s">
        <v>1557</v>
      </c>
    </row>
    <row r="101" spans="2:40" x14ac:dyDescent="0.25">
      <c r="B101">
        <v>-101</v>
      </c>
      <c r="C101" t="s">
        <v>96</v>
      </c>
      <c r="D101" s="1">
        <f t="shared" si="3"/>
        <v>465</v>
      </c>
      <c r="E101" s="2">
        <v>85</v>
      </c>
      <c r="F101" s="3">
        <v>75</v>
      </c>
      <c r="G101" s="4">
        <v>80</v>
      </c>
      <c r="H101" s="5">
        <v>90</v>
      </c>
      <c r="I101" s="4">
        <v>75</v>
      </c>
      <c r="J101" s="6">
        <v>60</v>
      </c>
      <c r="K101">
        <v>465</v>
      </c>
      <c r="X101" s="10" t="s">
        <v>275</v>
      </c>
      <c r="Z101">
        <v>127</v>
      </c>
      <c r="AA101" t="s">
        <v>492</v>
      </c>
      <c r="AB101">
        <v>1</v>
      </c>
      <c r="AC101" s="35">
        <v>0.09</v>
      </c>
      <c r="AD101" s="36">
        <f t="shared" si="4"/>
        <v>0.09</v>
      </c>
      <c r="AF101">
        <v>175</v>
      </c>
      <c r="AG101" t="s">
        <v>570</v>
      </c>
      <c r="AH101">
        <v>2</v>
      </c>
      <c r="AI101" s="35">
        <v>1.1999999999999999E-3</v>
      </c>
      <c r="AK101">
        <v>267</v>
      </c>
      <c r="AL101" t="s">
        <v>1449</v>
      </c>
      <c r="AM101">
        <v>0</v>
      </c>
      <c r="AN101" t="s">
        <v>1557</v>
      </c>
    </row>
    <row r="102" spans="2:40" x14ac:dyDescent="0.25">
      <c r="B102">
        <v>-102</v>
      </c>
      <c r="C102" t="s">
        <v>97</v>
      </c>
      <c r="D102" s="1">
        <f t="shared" si="3"/>
        <v>600</v>
      </c>
      <c r="E102" s="2">
        <v>90</v>
      </c>
      <c r="F102" s="3">
        <v>85</v>
      </c>
      <c r="G102" s="4">
        <v>85</v>
      </c>
      <c r="H102" s="5">
        <v>100</v>
      </c>
      <c r="I102" s="4">
        <v>150</v>
      </c>
      <c r="J102" s="6">
        <v>90</v>
      </c>
      <c r="K102">
        <v>600</v>
      </c>
      <c r="X102" t="s">
        <v>276</v>
      </c>
      <c r="Z102">
        <v>154</v>
      </c>
      <c r="AA102" t="s">
        <v>512</v>
      </c>
      <c r="AB102">
        <v>1</v>
      </c>
      <c r="AC102" s="35">
        <v>0.09</v>
      </c>
      <c r="AD102" s="36">
        <f t="shared" si="4"/>
        <v>0.09</v>
      </c>
      <c r="AF102">
        <v>182</v>
      </c>
      <c r="AG102" t="s">
        <v>93</v>
      </c>
      <c r="AH102">
        <v>2</v>
      </c>
      <c r="AI102" s="35">
        <v>1.1999999999999999E-3</v>
      </c>
      <c r="AK102">
        <v>268</v>
      </c>
      <c r="AL102" t="s">
        <v>1450</v>
      </c>
      <c r="AM102">
        <v>0</v>
      </c>
      <c r="AN102" t="s">
        <v>1557</v>
      </c>
    </row>
    <row r="103" spans="2:40" x14ac:dyDescent="0.25">
      <c r="B103">
        <v>-103</v>
      </c>
      <c r="C103" t="s">
        <v>159</v>
      </c>
      <c r="D103" s="1">
        <f>SUM(E103:J103)</f>
        <v>570</v>
      </c>
      <c r="E103" s="2">
        <v>95</v>
      </c>
      <c r="F103" s="3">
        <v>125</v>
      </c>
      <c r="G103" s="4">
        <v>105</v>
      </c>
      <c r="H103" s="5">
        <v>65</v>
      </c>
      <c r="I103" s="4">
        <v>95</v>
      </c>
      <c r="J103" s="6">
        <v>85</v>
      </c>
      <c r="K103">
        <v>570</v>
      </c>
      <c r="X103" s="12" t="s">
        <v>277</v>
      </c>
      <c r="Y103" t="s">
        <v>278</v>
      </c>
      <c r="Z103">
        <v>168</v>
      </c>
      <c r="AA103" t="s">
        <v>70</v>
      </c>
      <c r="AB103">
        <v>1</v>
      </c>
      <c r="AC103" s="35">
        <v>0.09</v>
      </c>
      <c r="AD103" s="36">
        <f t="shared" si="4"/>
        <v>0.09</v>
      </c>
      <c r="AF103">
        <v>187</v>
      </c>
      <c r="AG103" t="s">
        <v>95</v>
      </c>
      <c r="AH103">
        <v>2</v>
      </c>
      <c r="AI103" s="35">
        <v>1.1999999999999999E-3</v>
      </c>
      <c r="AK103">
        <v>269</v>
      </c>
      <c r="AL103" t="s">
        <v>1451</v>
      </c>
      <c r="AM103">
        <v>0</v>
      </c>
      <c r="AN103" t="s">
        <v>1557</v>
      </c>
    </row>
    <row r="104" spans="2:40" x14ac:dyDescent="0.25">
      <c r="B104">
        <v>-104</v>
      </c>
      <c r="C104" t="s">
        <v>160</v>
      </c>
      <c r="D104" s="1">
        <f>SUM(E104:J104)</f>
        <v>570</v>
      </c>
      <c r="E104" s="2">
        <v>95</v>
      </c>
      <c r="F104" s="3">
        <v>85</v>
      </c>
      <c r="G104" s="4">
        <v>65</v>
      </c>
      <c r="H104" s="5">
        <v>105</v>
      </c>
      <c r="I104" s="4">
        <v>95</v>
      </c>
      <c r="J104" s="6">
        <v>125</v>
      </c>
      <c r="K104">
        <v>570</v>
      </c>
      <c r="X104" s="12" t="s">
        <v>279</v>
      </c>
      <c r="Z104">
        <v>201</v>
      </c>
      <c r="AA104" t="s">
        <v>537</v>
      </c>
      <c r="AB104">
        <v>1</v>
      </c>
      <c r="AC104" s="35">
        <v>0.09</v>
      </c>
      <c r="AD104" s="36">
        <f t="shared" si="4"/>
        <v>0.09</v>
      </c>
      <c r="AF104">
        <v>190</v>
      </c>
      <c r="AG104" t="s">
        <v>527</v>
      </c>
      <c r="AH104">
        <v>2</v>
      </c>
      <c r="AI104" s="35">
        <v>1.1999999999999999E-3</v>
      </c>
      <c r="AK104">
        <v>270</v>
      </c>
      <c r="AL104" t="s">
        <v>1452</v>
      </c>
      <c r="AM104">
        <v>0</v>
      </c>
      <c r="AN104" t="s">
        <v>1557</v>
      </c>
    </row>
    <row r="105" spans="2:40" x14ac:dyDescent="0.25">
      <c r="B105">
        <v>-105</v>
      </c>
      <c r="C105" t="s">
        <v>133</v>
      </c>
      <c r="D105" s="1">
        <f t="shared" si="3"/>
        <v>570</v>
      </c>
      <c r="E105" s="2">
        <v>95</v>
      </c>
      <c r="F105" s="3">
        <v>65</v>
      </c>
      <c r="G105" s="4">
        <v>85</v>
      </c>
      <c r="H105" s="5">
        <v>125</v>
      </c>
      <c r="I105" s="4">
        <v>95</v>
      </c>
      <c r="J105" s="6">
        <v>105</v>
      </c>
      <c r="K105">
        <v>570</v>
      </c>
      <c r="X105" s="10" t="s">
        <v>280</v>
      </c>
      <c r="Z105">
        <v>240</v>
      </c>
      <c r="AA105" t="s">
        <v>803</v>
      </c>
      <c r="AB105">
        <v>1</v>
      </c>
      <c r="AC105" s="35">
        <v>0.09</v>
      </c>
      <c r="AD105" s="36">
        <f t="shared" si="4"/>
        <v>0.09</v>
      </c>
      <c r="AF105">
        <v>195</v>
      </c>
      <c r="AG105" t="s">
        <v>531</v>
      </c>
      <c r="AH105">
        <v>2</v>
      </c>
      <c r="AI105" s="35">
        <v>1.1999999999999999E-3</v>
      </c>
      <c r="AK105">
        <v>272</v>
      </c>
      <c r="AL105" t="s">
        <v>1453</v>
      </c>
      <c r="AM105">
        <v>0</v>
      </c>
    </row>
    <row r="106" spans="2:40" x14ac:dyDescent="0.25">
      <c r="B106">
        <v>-106</v>
      </c>
      <c r="C106" t="s">
        <v>98</v>
      </c>
      <c r="D106" s="1">
        <f t="shared" si="3"/>
        <v>450</v>
      </c>
      <c r="E106" s="2">
        <v>50</v>
      </c>
      <c r="F106" s="3">
        <v>40</v>
      </c>
      <c r="G106" s="4">
        <v>50</v>
      </c>
      <c r="H106" s="5">
        <v>120</v>
      </c>
      <c r="I106" s="4">
        <v>90</v>
      </c>
      <c r="J106" s="6">
        <v>100</v>
      </c>
      <c r="K106">
        <v>450</v>
      </c>
      <c r="X106" t="s">
        <v>281</v>
      </c>
      <c r="Z106">
        <v>131</v>
      </c>
      <c r="AA106" t="s">
        <v>579</v>
      </c>
      <c r="AB106">
        <v>2</v>
      </c>
      <c r="AC106" s="35">
        <v>0.05</v>
      </c>
      <c r="AD106" s="36">
        <f t="shared" si="4"/>
        <v>0.1</v>
      </c>
      <c r="AF106">
        <v>203</v>
      </c>
      <c r="AG106" t="s">
        <v>539</v>
      </c>
      <c r="AH106">
        <v>2</v>
      </c>
      <c r="AI106" s="35">
        <v>1.1999999999999999E-3</v>
      </c>
      <c r="AK106">
        <v>273</v>
      </c>
      <c r="AL106" t="s">
        <v>1454</v>
      </c>
      <c r="AM106">
        <v>0</v>
      </c>
    </row>
    <row r="107" spans="2:40" x14ac:dyDescent="0.25">
      <c r="B107">
        <v>-107</v>
      </c>
      <c r="C107" t="s">
        <v>99</v>
      </c>
      <c r="D107" s="1">
        <f t="shared" si="3"/>
        <v>335</v>
      </c>
      <c r="E107" s="2">
        <v>40</v>
      </c>
      <c r="F107" s="3">
        <v>45</v>
      </c>
      <c r="G107" s="4">
        <v>40</v>
      </c>
      <c r="H107" s="5">
        <v>75</v>
      </c>
      <c r="I107" s="4">
        <v>65</v>
      </c>
      <c r="J107" s="6">
        <v>70</v>
      </c>
      <c r="K107">
        <v>335</v>
      </c>
      <c r="X107" t="s">
        <v>184</v>
      </c>
      <c r="Z107">
        <v>69</v>
      </c>
      <c r="AA107" t="s">
        <v>445</v>
      </c>
      <c r="AB107">
        <v>1</v>
      </c>
      <c r="AC107" s="35">
        <v>0.1</v>
      </c>
      <c r="AD107" s="36">
        <f t="shared" si="4"/>
        <v>0.1</v>
      </c>
      <c r="AF107">
        <v>209</v>
      </c>
      <c r="AG107" t="s">
        <v>545</v>
      </c>
      <c r="AH107">
        <v>2</v>
      </c>
      <c r="AI107" s="35">
        <v>1.1999999999999999E-3</v>
      </c>
      <c r="AK107">
        <v>274</v>
      </c>
      <c r="AL107" t="s">
        <v>1455</v>
      </c>
      <c r="AM107">
        <v>0</v>
      </c>
    </row>
    <row r="108" spans="2:40" x14ac:dyDescent="0.25">
      <c r="B108">
        <v>-108</v>
      </c>
      <c r="C108" t="s">
        <v>100</v>
      </c>
      <c r="D108" s="1">
        <f t="shared" si="3"/>
        <v>505</v>
      </c>
      <c r="E108" s="2">
        <v>85</v>
      </c>
      <c r="F108" s="3">
        <v>60</v>
      </c>
      <c r="G108" s="4">
        <v>65</v>
      </c>
      <c r="H108" s="5">
        <v>100</v>
      </c>
      <c r="I108" s="4">
        <v>110</v>
      </c>
      <c r="J108" s="6">
        <v>85</v>
      </c>
      <c r="K108">
        <v>505</v>
      </c>
      <c r="X108" s="10" t="s">
        <v>282</v>
      </c>
      <c r="Z108">
        <v>124</v>
      </c>
      <c r="AA108" t="s">
        <v>42</v>
      </c>
      <c r="AB108">
        <v>1</v>
      </c>
      <c r="AC108" s="35">
        <v>0.1</v>
      </c>
      <c r="AD108" s="36">
        <f t="shared" si="4"/>
        <v>0.1</v>
      </c>
      <c r="AF108">
        <v>211</v>
      </c>
      <c r="AG108" t="s">
        <v>547</v>
      </c>
      <c r="AH108">
        <v>2</v>
      </c>
      <c r="AI108" s="35">
        <v>1.1999999999999999E-3</v>
      </c>
      <c r="AK108">
        <v>275</v>
      </c>
      <c r="AL108" t="s">
        <v>1456</v>
      </c>
      <c r="AM108">
        <v>0</v>
      </c>
    </row>
    <row r="109" spans="2:40" x14ac:dyDescent="0.25">
      <c r="B109">
        <v>-109</v>
      </c>
      <c r="C109" t="s">
        <v>101</v>
      </c>
      <c r="D109" s="1">
        <f t="shared" si="3"/>
        <v>390</v>
      </c>
      <c r="E109" s="2">
        <v>55</v>
      </c>
      <c r="F109" s="3">
        <v>76</v>
      </c>
      <c r="G109" s="4">
        <v>55</v>
      </c>
      <c r="H109" s="5">
        <v>54</v>
      </c>
      <c r="I109" s="4">
        <v>90</v>
      </c>
      <c r="J109" s="6">
        <v>60</v>
      </c>
      <c r="K109">
        <v>390</v>
      </c>
      <c r="X109" t="s">
        <v>283</v>
      </c>
      <c r="Z109">
        <v>192</v>
      </c>
      <c r="AA109" t="s">
        <v>798</v>
      </c>
      <c r="AB109">
        <v>4</v>
      </c>
      <c r="AC109" s="35">
        <v>2.75E-2</v>
      </c>
      <c r="AD109" s="36">
        <f t="shared" si="4"/>
        <v>0.11</v>
      </c>
      <c r="AF109">
        <v>213</v>
      </c>
      <c r="AG109" t="s">
        <v>549</v>
      </c>
      <c r="AH109">
        <v>2</v>
      </c>
      <c r="AI109" s="35">
        <v>1.1999999999999999E-3</v>
      </c>
      <c r="AK109">
        <v>281</v>
      </c>
      <c r="AL109" t="s">
        <v>1457</v>
      </c>
      <c r="AM109">
        <v>0</v>
      </c>
    </row>
    <row r="110" spans="2:40" x14ac:dyDescent="0.25">
      <c r="B110">
        <v>-110</v>
      </c>
      <c r="C110" t="s">
        <v>102</v>
      </c>
      <c r="D110" s="1">
        <f t="shared" si="3"/>
        <v>455</v>
      </c>
      <c r="E110" s="2">
        <v>75</v>
      </c>
      <c r="F110" s="3">
        <v>80</v>
      </c>
      <c r="G110" s="4">
        <v>75</v>
      </c>
      <c r="H110" s="5">
        <v>60</v>
      </c>
      <c r="I110" s="4">
        <v>90</v>
      </c>
      <c r="J110" s="6">
        <v>75</v>
      </c>
      <c r="K110">
        <v>455</v>
      </c>
      <c r="X110" s="10" t="s">
        <v>284</v>
      </c>
      <c r="Z110">
        <v>15</v>
      </c>
      <c r="AA110" t="s">
        <v>1577</v>
      </c>
      <c r="AB110">
        <v>2</v>
      </c>
      <c r="AC110" s="35">
        <v>5.5E-2</v>
      </c>
      <c r="AD110" s="36">
        <f t="shared" si="4"/>
        <v>0.11</v>
      </c>
      <c r="AF110">
        <v>217</v>
      </c>
      <c r="AG110" t="s">
        <v>553</v>
      </c>
      <c r="AH110">
        <v>2</v>
      </c>
      <c r="AI110" s="35">
        <v>1.1999999999999999E-3</v>
      </c>
      <c r="AK110">
        <v>284</v>
      </c>
      <c r="AL110" t="s">
        <v>1458</v>
      </c>
      <c r="AM110">
        <v>0</v>
      </c>
      <c r="AN110" t="s">
        <v>1558</v>
      </c>
    </row>
    <row r="111" spans="2:40" x14ac:dyDescent="0.25">
      <c r="B111">
        <v>-111</v>
      </c>
      <c r="C111" t="s">
        <v>103</v>
      </c>
      <c r="D111" s="1">
        <f t="shared" si="3"/>
        <v>600</v>
      </c>
      <c r="E111" s="2">
        <v>100</v>
      </c>
      <c r="F111" s="3">
        <v>100</v>
      </c>
      <c r="G111" s="4">
        <v>100</v>
      </c>
      <c r="H111" s="5">
        <v>100</v>
      </c>
      <c r="I111" s="4">
        <v>100</v>
      </c>
      <c r="J111" s="6">
        <v>100</v>
      </c>
      <c r="K111">
        <v>600</v>
      </c>
      <c r="X111" t="s">
        <v>285</v>
      </c>
      <c r="Z111">
        <v>49</v>
      </c>
      <c r="AA111" t="s">
        <v>1594</v>
      </c>
      <c r="AB111">
        <v>1</v>
      </c>
      <c r="AC111" s="35">
        <v>0.11</v>
      </c>
      <c r="AD111" s="36">
        <f t="shared" si="4"/>
        <v>0.11</v>
      </c>
      <c r="AF111">
        <v>220</v>
      </c>
      <c r="AG111" t="s">
        <v>556</v>
      </c>
      <c r="AH111">
        <v>2</v>
      </c>
      <c r="AI111" s="35">
        <v>1.1999999999999999E-3</v>
      </c>
      <c r="AK111">
        <v>287</v>
      </c>
      <c r="AL111" t="s">
        <v>1459</v>
      </c>
      <c r="AM111">
        <v>0</v>
      </c>
    </row>
    <row r="112" spans="2:40" x14ac:dyDescent="0.25">
      <c r="B112">
        <v>-112</v>
      </c>
      <c r="C112" t="s">
        <v>104</v>
      </c>
      <c r="D112" s="1">
        <f t="shared" si="3"/>
        <v>400</v>
      </c>
      <c r="E112" s="2">
        <v>60</v>
      </c>
      <c r="F112" s="3">
        <v>75</v>
      </c>
      <c r="G112" s="4">
        <v>70</v>
      </c>
      <c r="H112" s="5">
        <v>55</v>
      </c>
      <c r="I112" s="4">
        <v>65</v>
      </c>
      <c r="J112" s="6">
        <v>75</v>
      </c>
      <c r="K112">
        <v>400</v>
      </c>
      <c r="X112" s="10" t="s">
        <v>286</v>
      </c>
      <c r="Z112">
        <v>12</v>
      </c>
      <c r="AA112" t="s">
        <v>1574</v>
      </c>
      <c r="AB112">
        <v>1</v>
      </c>
      <c r="AC112" s="35">
        <v>0.12</v>
      </c>
      <c r="AD112" s="36">
        <f t="shared" si="4"/>
        <v>0.12</v>
      </c>
      <c r="AF112">
        <v>223</v>
      </c>
      <c r="AG112" t="s">
        <v>1625</v>
      </c>
      <c r="AH112">
        <v>2</v>
      </c>
      <c r="AI112" s="35">
        <v>1.1999999999999999E-3</v>
      </c>
      <c r="AK112">
        <v>289</v>
      </c>
      <c r="AL112" t="s">
        <v>1461</v>
      </c>
      <c r="AM112">
        <v>0</v>
      </c>
      <c r="AN112" t="s">
        <v>1554</v>
      </c>
    </row>
    <row r="113" spans="2:40" x14ac:dyDescent="0.25">
      <c r="B113">
        <v>-113</v>
      </c>
      <c r="C113" t="s">
        <v>105</v>
      </c>
      <c r="D113" s="1">
        <f t="shared" si="3"/>
        <v>520</v>
      </c>
      <c r="E113" s="2">
        <v>120</v>
      </c>
      <c r="F113" s="3">
        <v>75</v>
      </c>
      <c r="G113" s="4">
        <v>100</v>
      </c>
      <c r="H113" s="5">
        <v>85</v>
      </c>
      <c r="I113" s="4">
        <v>65</v>
      </c>
      <c r="J113" s="6">
        <v>75</v>
      </c>
      <c r="K113">
        <v>520</v>
      </c>
      <c r="X113" s="10" t="s">
        <v>287</v>
      </c>
      <c r="Z113">
        <v>217</v>
      </c>
      <c r="AA113" t="s">
        <v>553</v>
      </c>
      <c r="AB113">
        <v>1</v>
      </c>
      <c r="AC113" s="35">
        <v>0.12</v>
      </c>
      <c r="AD113" s="36">
        <f t="shared" si="4"/>
        <v>0.12</v>
      </c>
      <c r="AF113">
        <v>224</v>
      </c>
      <c r="AG113" t="s">
        <v>1626</v>
      </c>
      <c r="AH113">
        <v>2</v>
      </c>
      <c r="AI113" s="35">
        <v>1.1999999999999999E-3</v>
      </c>
      <c r="AK113">
        <v>290</v>
      </c>
      <c r="AL113" t="s">
        <v>1547</v>
      </c>
      <c r="AM113">
        <v>0</v>
      </c>
      <c r="AN113" t="s">
        <v>1554</v>
      </c>
    </row>
    <row r="114" spans="2:40" x14ac:dyDescent="0.25">
      <c r="B114">
        <v>-114</v>
      </c>
      <c r="C114" t="s">
        <v>106</v>
      </c>
      <c r="D114" s="1">
        <f t="shared" si="3"/>
        <v>520</v>
      </c>
      <c r="E114" s="2">
        <v>75</v>
      </c>
      <c r="F114" s="3">
        <v>65</v>
      </c>
      <c r="G114" s="4">
        <v>85</v>
      </c>
      <c r="H114" s="5">
        <v>120</v>
      </c>
      <c r="I114" s="4">
        <v>100</v>
      </c>
      <c r="J114" s="6">
        <v>75</v>
      </c>
      <c r="K114">
        <v>520</v>
      </c>
      <c r="X114" t="s">
        <v>288</v>
      </c>
      <c r="Z114">
        <v>293</v>
      </c>
      <c r="AA114" t="s">
        <v>1191</v>
      </c>
      <c r="AB114">
        <v>1</v>
      </c>
      <c r="AC114" s="35">
        <v>0.12</v>
      </c>
      <c r="AD114" s="36">
        <f t="shared" si="4"/>
        <v>0.12</v>
      </c>
      <c r="AF114">
        <v>228</v>
      </c>
      <c r="AG114" t="s">
        <v>1647</v>
      </c>
      <c r="AH114">
        <v>2</v>
      </c>
      <c r="AI114" s="35">
        <v>1.1999999999999999E-3</v>
      </c>
      <c r="AK114">
        <v>293</v>
      </c>
      <c r="AL114" t="s">
        <v>1634</v>
      </c>
      <c r="AM114">
        <v>0</v>
      </c>
    </row>
    <row r="115" spans="2:40" x14ac:dyDescent="0.25">
      <c r="B115">
        <v>-115</v>
      </c>
      <c r="C115" t="s">
        <v>107</v>
      </c>
      <c r="D115" s="1">
        <f t="shared" si="3"/>
        <v>520</v>
      </c>
      <c r="E115" s="2">
        <v>85</v>
      </c>
      <c r="F115" s="3">
        <v>120</v>
      </c>
      <c r="G115" s="4">
        <v>75</v>
      </c>
      <c r="H115" s="5">
        <v>100</v>
      </c>
      <c r="I115" s="4">
        <v>75</v>
      </c>
      <c r="J115" s="6">
        <v>65</v>
      </c>
      <c r="K115">
        <v>520</v>
      </c>
      <c r="X115" t="s">
        <v>289</v>
      </c>
      <c r="Z115">
        <v>246</v>
      </c>
      <c r="AA115" t="s">
        <v>1124</v>
      </c>
      <c r="AB115">
        <v>3</v>
      </c>
      <c r="AC115" s="35">
        <v>4.3299999999999998E-2</v>
      </c>
      <c r="AD115" s="36">
        <f t="shared" si="4"/>
        <v>0.12989999999999999</v>
      </c>
      <c r="AF115">
        <v>230</v>
      </c>
      <c r="AG115" t="s">
        <v>1650</v>
      </c>
      <c r="AH115">
        <v>2</v>
      </c>
      <c r="AI115" s="35">
        <v>1.1999999999999999E-3</v>
      </c>
      <c r="AK115">
        <v>294</v>
      </c>
      <c r="AL115" t="s">
        <v>1635</v>
      </c>
      <c r="AM115">
        <v>0</v>
      </c>
    </row>
    <row r="116" spans="2:40" x14ac:dyDescent="0.25">
      <c r="B116">
        <v>-116</v>
      </c>
      <c r="C116" t="s">
        <v>108</v>
      </c>
      <c r="D116" s="1">
        <f t="shared" si="3"/>
        <v>520</v>
      </c>
      <c r="E116" s="2">
        <v>100</v>
      </c>
      <c r="F116" s="3">
        <v>120</v>
      </c>
      <c r="G116" s="4">
        <v>85</v>
      </c>
      <c r="H116" s="5">
        <v>75</v>
      </c>
      <c r="I116" s="4">
        <v>65</v>
      </c>
      <c r="J116" s="6">
        <v>75</v>
      </c>
      <c r="K116">
        <v>520</v>
      </c>
      <c r="X116" s="10" t="s">
        <v>290</v>
      </c>
      <c r="Z116">
        <v>17</v>
      </c>
      <c r="AA116" t="s">
        <v>1578</v>
      </c>
      <c r="AB116">
        <v>2</v>
      </c>
      <c r="AC116" s="35">
        <v>7.0000000000000007E-2</v>
      </c>
      <c r="AD116" s="36">
        <f t="shared" si="4"/>
        <v>0.14000000000000001</v>
      </c>
      <c r="AF116">
        <v>231</v>
      </c>
      <c r="AG116" t="s">
        <v>1648</v>
      </c>
      <c r="AH116">
        <v>2</v>
      </c>
      <c r="AI116" s="35">
        <v>1.1999999999999999E-3</v>
      </c>
      <c r="AK116">
        <v>295</v>
      </c>
      <c r="AL116" t="s">
        <v>1636</v>
      </c>
      <c r="AM116">
        <v>0</v>
      </c>
    </row>
    <row r="117" spans="2:40" x14ac:dyDescent="0.25">
      <c r="B117">
        <v>-117</v>
      </c>
      <c r="C117" t="s">
        <v>109</v>
      </c>
      <c r="D117" s="1">
        <f t="shared" si="3"/>
        <v>520</v>
      </c>
      <c r="E117" s="2">
        <v>75</v>
      </c>
      <c r="F117" s="3">
        <v>75</v>
      </c>
      <c r="G117" s="4">
        <v>65</v>
      </c>
      <c r="H117" s="5">
        <v>85</v>
      </c>
      <c r="I117" s="4">
        <v>120</v>
      </c>
      <c r="J117" s="6">
        <v>100</v>
      </c>
      <c r="K117">
        <v>520</v>
      </c>
      <c r="X117" t="s">
        <v>291</v>
      </c>
      <c r="Z117">
        <v>83</v>
      </c>
      <c r="AA117" t="s">
        <v>459</v>
      </c>
      <c r="AB117">
        <v>1</v>
      </c>
      <c r="AC117" s="35">
        <v>0.14000000000000001</v>
      </c>
      <c r="AD117" s="36">
        <f t="shared" si="4"/>
        <v>0.14000000000000001</v>
      </c>
      <c r="AF117">
        <v>232</v>
      </c>
      <c r="AG117" t="s">
        <v>1649</v>
      </c>
      <c r="AH117">
        <v>2</v>
      </c>
      <c r="AI117" s="35">
        <v>1.1999999999999999E-3</v>
      </c>
      <c r="AK117">
        <v>296</v>
      </c>
      <c r="AL117" t="s">
        <v>1637</v>
      </c>
      <c r="AM117">
        <v>0</v>
      </c>
    </row>
    <row r="118" spans="2:40" x14ac:dyDescent="0.25">
      <c r="B118">
        <v>-118</v>
      </c>
      <c r="C118" t="s">
        <v>110</v>
      </c>
      <c r="D118" s="1">
        <f t="shared" si="3"/>
        <v>520</v>
      </c>
      <c r="E118" s="2">
        <v>85</v>
      </c>
      <c r="F118" s="3">
        <v>100</v>
      </c>
      <c r="G118" s="4">
        <v>120</v>
      </c>
      <c r="H118" s="5">
        <v>75</v>
      </c>
      <c r="I118" s="4">
        <v>75</v>
      </c>
      <c r="J118" s="6">
        <v>65</v>
      </c>
      <c r="K118">
        <v>520</v>
      </c>
      <c r="X118" t="s">
        <v>292</v>
      </c>
      <c r="Z118">
        <v>31</v>
      </c>
      <c r="AA118" t="s">
        <v>415</v>
      </c>
      <c r="AB118">
        <v>2</v>
      </c>
      <c r="AC118" s="35">
        <v>7.4999999999999997E-2</v>
      </c>
      <c r="AD118" s="36">
        <f t="shared" si="4"/>
        <v>0.15</v>
      </c>
      <c r="AF118">
        <v>235</v>
      </c>
      <c r="AG118" t="s">
        <v>567</v>
      </c>
      <c r="AH118">
        <v>2</v>
      </c>
      <c r="AI118" s="35">
        <v>1.1999999999999999E-3</v>
      </c>
      <c r="AK118">
        <v>297</v>
      </c>
      <c r="AL118" t="s">
        <v>1374</v>
      </c>
      <c r="AM118">
        <v>0</v>
      </c>
    </row>
    <row r="119" spans="2:40" x14ac:dyDescent="0.25">
      <c r="B119">
        <v>-119</v>
      </c>
      <c r="C119" t="s">
        <v>111</v>
      </c>
      <c r="D119" s="1">
        <f t="shared" si="3"/>
        <v>520</v>
      </c>
      <c r="E119" s="2">
        <v>75</v>
      </c>
      <c r="F119" s="3">
        <v>65</v>
      </c>
      <c r="G119" s="4">
        <v>85</v>
      </c>
      <c r="H119" s="5">
        <v>100</v>
      </c>
      <c r="I119" s="4">
        <v>120</v>
      </c>
      <c r="J119" s="6">
        <v>75</v>
      </c>
      <c r="K119">
        <v>520</v>
      </c>
      <c r="X119" s="10" t="s">
        <v>293</v>
      </c>
      <c r="Z119">
        <v>179</v>
      </c>
      <c r="AA119" t="s">
        <v>525</v>
      </c>
      <c r="AB119">
        <v>2</v>
      </c>
      <c r="AC119" s="35">
        <v>7.4999999999999997E-2</v>
      </c>
      <c r="AD119" s="36">
        <f t="shared" si="4"/>
        <v>0.15</v>
      </c>
      <c r="AF119">
        <v>238</v>
      </c>
      <c r="AG119" t="s">
        <v>801</v>
      </c>
      <c r="AH119">
        <v>2</v>
      </c>
      <c r="AI119" s="35">
        <v>1.1999999999999999E-3</v>
      </c>
      <c r="AK119">
        <v>298</v>
      </c>
      <c r="AL119" t="s">
        <v>1638</v>
      </c>
      <c r="AM119">
        <v>0</v>
      </c>
    </row>
    <row r="120" spans="2:40" x14ac:dyDescent="0.25">
      <c r="B120">
        <v>-120</v>
      </c>
      <c r="C120" t="s">
        <v>112</v>
      </c>
      <c r="D120" s="1">
        <f t="shared" si="3"/>
        <v>520</v>
      </c>
      <c r="E120" s="2">
        <v>65</v>
      </c>
      <c r="F120" s="3">
        <v>75</v>
      </c>
      <c r="G120" s="4">
        <v>120</v>
      </c>
      <c r="H120" s="5">
        <v>85</v>
      </c>
      <c r="I120" s="4">
        <v>100</v>
      </c>
      <c r="J120" s="6">
        <v>75</v>
      </c>
      <c r="K120">
        <v>520</v>
      </c>
      <c r="X120" s="12" t="s">
        <v>294</v>
      </c>
      <c r="Z120">
        <v>244</v>
      </c>
      <c r="AA120" t="s">
        <v>1122</v>
      </c>
      <c r="AB120">
        <v>3</v>
      </c>
      <c r="AC120" s="35">
        <v>0.05</v>
      </c>
      <c r="AD120" s="36">
        <f t="shared" si="4"/>
        <v>0.15000000000000002</v>
      </c>
      <c r="AF120">
        <v>249</v>
      </c>
      <c r="AG120" t="s">
        <v>1128</v>
      </c>
      <c r="AH120">
        <v>2</v>
      </c>
      <c r="AI120" s="35">
        <v>1.1999999999999999E-3</v>
      </c>
      <c r="AK120">
        <v>299</v>
      </c>
      <c r="AL120" t="s">
        <v>1639</v>
      </c>
      <c r="AM120">
        <v>0</v>
      </c>
    </row>
    <row r="121" spans="2:40" x14ac:dyDescent="0.25">
      <c r="B121">
        <v>-121</v>
      </c>
      <c r="C121" t="s">
        <v>113</v>
      </c>
      <c r="D121" s="1">
        <f t="shared" si="3"/>
        <v>520</v>
      </c>
      <c r="E121" s="2">
        <v>75</v>
      </c>
      <c r="F121" s="3">
        <v>120</v>
      </c>
      <c r="G121" s="4">
        <v>85</v>
      </c>
      <c r="H121" s="5">
        <v>65</v>
      </c>
      <c r="I121" s="4">
        <v>100</v>
      </c>
      <c r="J121" s="6">
        <v>75</v>
      </c>
      <c r="K121">
        <v>520</v>
      </c>
      <c r="X121" s="10" t="s">
        <v>295</v>
      </c>
      <c r="Z121">
        <v>30</v>
      </c>
      <c r="AA121" t="s">
        <v>414</v>
      </c>
      <c r="AB121">
        <v>3</v>
      </c>
      <c r="AC121" s="35">
        <v>5.33E-2</v>
      </c>
      <c r="AD121" s="36">
        <f t="shared" si="4"/>
        <v>0.15989999999999999</v>
      </c>
      <c r="AF121">
        <v>267</v>
      </c>
      <c r="AG121" t="s">
        <v>1151</v>
      </c>
      <c r="AH121">
        <v>2</v>
      </c>
      <c r="AI121" s="35">
        <v>1.1999999999999999E-3</v>
      </c>
      <c r="AK121">
        <v>300</v>
      </c>
      <c r="AL121" t="s">
        <v>1368</v>
      </c>
      <c r="AM121">
        <v>0</v>
      </c>
    </row>
    <row r="122" spans="2:40" x14ac:dyDescent="0.25">
      <c r="B122">
        <v>-122</v>
      </c>
      <c r="C122" t="s">
        <v>114</v>
      </c>
      <c r="D122" s="1">
        <f t="shared" si="3"/>
        <v>520</v>
      </c>
      <c r="E122" s="2">
        <v>75</v>
      </c>
      <c r="F122" s="3">
        <v>100</v>
      </c>
      <c r="G122" s="4">
        <v>75</v>
      </c>
      <c r="H122" s="5">
        <v>120</v>
      </c>
      <c r="I122" s="4">
        <v>65</v>
      </c>
      <c r="J122" s="6">
        <v>85</v>
      </c>
      <c r="K122">
        <v>520</v>
      </c>
      <c r="X122" s="10" t="s">
        <v>186</v>
      </c>
      <c r="Z122">
        <v>112</v>
      </c>
      <c r="AA122" t="s">
        <v>44</v>
      </c>
      <c r="AB122">
        <v>2</v>
      </c>
      <c r="AC122" s="35">
        <v>8.5000000000000006E-2</v>
      </c>
      <c r="AD122" s="36">
        <f t="shared" si="4"/>
        <v>0.17</v>
      </c>
      <c r="AF122">
        <v>272</v>
      </c>
      <c r="AG122" t="s">
        <v>1157</v>
      </c>
      <c r="AH122">
        <v>2</v>
      </c>
      <c r="AI122" s="35">
        <v>1.1999999999999999E-3</v>
      </c>
      <c r="AK122">
        <v>301</v>
      </c>
      <c r="AL122" t="s">
        <v>1662</v>
      </c>
      <c r="AM122">
        <v>0</v>
      </c>
    </row>
    <row r="123" spans="2:40" x14ac:dyDescent="0.25">
      <c r="B123">
        <v>-123</v>
      </c>
      <c r="C123" t="s">
        <v>115</v>
      </c>
      <c r="D123" s="1">
        <f t="shared" si="3"/>
        <v>520</v>
      </c>
      <c r="E123" s="2">
        <v>65</v>
      </c>
      <c r="F123" s="3">
        <v>75</v>
      </c>
      <c r="G123" s="4">
        <v>75</v>
      </c>
      <c r="H123" s="5">
        <v>120</v>
      </c>
      <c r="I123" s="4">
        <v>100</v>
      </c>
      <c r="J123" s="6">
        <v>85</v>
      </c>
      <c r="K123">
        <v>520</v>
      </c>
      <c r="X123" t="s">
        <v>296</v>
      </c>
      <c r="Z123">
        <v>76</v>
      </c>
      <c r="AA123" t="s">
        <v>452</v>
      </c>
      <c r="AB123">
        <v>3</v>
      </c>
      <c r="AC123" s="35">
        <v>5.67E-2</v>
      </c>
      <c r="AD123" s="36">
        <f t="shared" si="4"/>
        <v>0.1701</v>
      </c>
      <c r="AF123">
        <v>276</v>
      </c>
      <c r="AG123" t="s">
        <v>1161</v>
      </c>
      <c r="AH123">
        <v>2</v>
      </c>
      <c r="AI123" s="35">
        <v>1.1999999999999999E-3</v>
      </c>
      <c r="AK123">
        <v>302</v>
      </c>
      <c r="AL123" t="s">
        <v>1372</v>
      </c>
      <c r="AM123">
        <v>0</v>
      </c>
    </row>
    <row r="124" spans="2:40" x14ac:dyDescent="0.25">
      <c r="B124">
        <v>-124</v>
      </c>
      <c r="C124" t="s">
        <v>116</v>
      </c>
      <c r="D124" s="1">
        <f t="shared" si="3"/>
        <v>310</v>
      </c>
      <c r="E124" s="2">
        <v>57</v>
      </c>
      <c r="F124" s="3">
        <v>51</v>
      </c>
      <c r="G124" s="4">
        <v>50</v>
      </c>
      <c r="H124" s="5">
        <v>50</v>
      </c>
      <c r="I124" s="4">
        <v>52</v>
      </c>
      <c r="J124" s="6">
        <v>50</v>
      </c>
      <c r="K124">
        <v>310</v>
      </c>
      <c r="X124" s="12" t="s">
        <v>297</v>
      </c>
      <c r="Z124">
        <v>191</v>
      </c>
      <c r="AA124" t="s">
        <v>528</v>
      </c>
      <c r="AB124">
        <v>3</v>
      </c>
      <c r="AC124" s="35">
        <v>5.67E-2</v>
      </c>
      <c r="AD124" s="36">
        <f t="shared" si="4"/>
        <v>0.1701</v>
      </c>
      <c r="AF124">
        <v>278</v>
      </c>
      <c r="AG124" t="s">
        <v>1172</v>
      </c>
      <c r="AH124">
        <v>2</v>
      </c>
      <c r="AI124" s="35">
        <v>1.1999999999999999E-3</v>
      </c>
      <c r="AK124">
        <v>334</v>
      </c>
      <c r="AL124" t="s">
        <v>1342</v>
      </c>
      <c r="AM124">
        <v>0</v>
      </c>
    </row>
    <row r="125" spans="2:40" x14ac:dyDescent="0.25">
      <c r="B125">
        <v>-125</v>
      </c>
      <c r="C125" t="s">
        <v>117</v>
      </c>
      <c r="D125" s="1">
        <f t="shared" si="3"/>
        <v>405</v>
      </c>
      <c r="E125" s="2">
        <v>60</v>
      </c>
      <c r="F125" s="3">
        <v>79</v>
      </c>
      <c r="G125" s="4">
        <v>71</v>
      </c>
      <c r="H125" s="5">
        <v>55</v>
      </c>
      <c r="I125" s="4">
        <v>75</v>
      </c>
      <c r="J125" s="6">
        <v>65</v>
      </c>
      <c r="K125">
        <v>405</v>
      </c>
      <c r="X125" s="10" t="s">
        <v>298</v>
      </c>
      <c r="Z125">
        <v>266</v>
      </c>
      <c r="AA125" t="s">
        <v>1149</v>
      </c>
      <c r="AB125">
        <v>3</v>
      </c>
      <c r="AC125" s="35">
        <v>5.67E-2</v>
      </c>
      <c r="AD125" s="36">
        <f t="shared" si="4"/>
        <v>0.1701</v>
      </c>
      <c r="AF125">
        <v>281</v>
      </c>
      <c r="AG125" t="s">
        <v>1174</v>
      </c>
      <c r="AH125">
        <v>2</v>
      </c>
      <c r="AI125" s="35">
        <v>1.1999999999999999E-3</v>
      </c>
      <c r="AK125">
        <v>344</v>
      </c>
      <c r="AL125" t="s">
        <v>1257</v>
      </c>
      <c r="AM125">
        <v>0</v>
      </c>
      <c r="AN125" t="s">
        <v>1554</v>
      </c>
    </row>
    <row r="126" spans="2:40" x14ac:dyDescent="0.25">
      <c r="B126">
        <v>-126</v>
      </c>
      <c r="C126" t="s">
        <v>118</v>
      </c>
      <c r="D126" s="1">
        <f t="shared" si="3"/>
        <v>526</v>
      </c>
      <c r="E126" s="2">
        <v>90</v>
      </c>
      <c r="F126" s="3">
        <v>95</v>
      </c>
      <c r="G126" s="4">
        <v>86</v>
      </c>
      <c r="H126" s="5">
        <v>105</v>
      </c>
      <c r="I126" s="4">
        <v>80</v>
      </c>
      <c r="J126" s="6">
        <v>70</v>
      </c>
      <c r="K126">
        <v>526</v>
      </c>
      <c r="X126" s="10" t="s">
        <v>299</v>
      </c>
      <c r="Z126">
        <v>142</v>
      </c>
      <c r="AA126" t="s">
        <v>501</v>
      </c>
      <c r="AB126">
        <v>8</v>
      </c>
      <c r="AC126" s="35">
        <v>2.1299999999999999E-2</v>
      </c>
      <c r="AD126" s="36">
        <f t="shared" si="4"/>
        <v>0.1704</v>
      </c>
      <c r="AF126">
        <v>284</v>
      </c>
      <c r="AG126" t="s">
        <v>1199</v>
      </c>
      <c r="AH126">
        <v>2</v>
      </c>
      <c r="AI126" s="35">
        <v>1.1999999999999999E-3</v>
      </c>
      <c r="AK126">
        <v>355</v>
      </c>
      <c r="AL126" t="s">
        <v>1406</v>
      </c>
      <c r="AM126">
        <v>0</v>
      </c>
    </row>
    <row r="127" spans="2:40" x14ac:dyDescent="0.25">
      <c r="B127">
        <v>-127</v>
      </c>
      <c r="C127" t="s">
        <v>119</v>
      </c>
      <c r="D127" s="1">
        <f t="shared" si="3"/>
        <v>331</v>
      </c>
      <c r="E127" s="2">
        <v>52</v>
      </c>
      <c r="F127" s="3">
        <v>53</v>
      </c>
      <c r="G127" s="4">
        <v>52</v>
      </c>
      <c r="H127" s="5">
        <v>58</v>
      </c>
      <c r="I127" s="4">
        <v>54</v>
      </c>
      <c r="J127" s="6">
        <v>62</v>
      </c>
      <c r="K127">
        <v>331</v>
      </c>
      <c r="X127" s="10" t="s">
        <v>300</v>
      </c>
      <c r="Z127">
        <v>196</v>
      </c>
      <c r="AA127" t="s">
        <v>532</v>
      </c>
      <c r="AB127">
        <v>4</v>
      </c>
      <c r="AC127" s="35">
        <v>4.4999999999999998E-2</v>
      </c>
      <c r="AD127" s="36">
        <f t="shared" si="4"/>
        <v>0.18</v>
      </c>
      <c r="AF127">
        <v>285</v>
      </c>
      <c r="AG127" t="s">
        <v>1200</v>
      </c>
      <c r="AH127">
        <v>2</v>
      </c>
      <c r="AI127" s="35">
        <v>1.1999999999999999E-3</v>
      </c>
      <c r="AK127">
        <v>356</v>
      </c>
      <c r="AL127" t="s">
        <v>1407</v>
      </c>
      <c r="AM127">
        <v>0</v>
      </c>
    </row>
    <row r="128" spans="2:40" x14ac:dyDescent="0.25">
      <c r="B128">
        <v>-128</v>
      </c>
      <c r="C128" t="s">
        <v>120</v>
      </c>
      <c r="D128" s="1">
        <f t="shared" si="3"/>
        <v>410</v>
      </c>
      <c r="E128" s="2">
        <v>54</v>
      </c>
      <c r="F128" s="3">
        <v>85</v>
      </c>
      <c r="G128" s="4">
        <v>63</v>
      </c>
      <c r="H128" s="5">
        <v>63</v>
      </c>
      <c r="I128" s="4">
        <v>69</v>
      </c>
      <c r="J128" s="6">
        <v>76</v>
      </c>
      <c r="K128">
        <v>410</v>
      </c>
      <c r="X128" s="10" t="s">
        <v>301</v>
      </c>
      <c r="Z128">
        <v>23</v>
      </c>
      <c r="AA128" t="s">
        <v>1584</v>
      </c>
      <c r="AB128">
        <v>3</v>
      </c>
      <c r="AC128" s="35">
        <v>0.06</v>
      </c>
      <c r="AD128" s="36">
        <f t="shared" si="4"/>
        <v>0.18</v>
      </c>
      <c r="AF128">
        <v>287</v>
      </c>
      <c r="AG128" t="s">
        <v>1202</v>
      </c>
      <c r="AH128">
        <v>2</v>
      </c>
      <c r="AI128" s="35">
        <v>1.1999999999999999E-3</v>
      </c>
      <c r="AK128">
        <v>357</v>
      </c>
      <c r="AL128" t="s">
        <v>1408</v>
      </c>
      <c r="AM128">
        <v>0</v>
      </c>
    </row>
    <row r="129" spans="2:39" x14ac:dyDescent="0.25">
      <c r="B129">
        <v>-129</v>
      </c>
      <c r="C129" t="s">
        <v>121</v>
      </c>
      <c r="D129" s="1">
        <f t="shared" si="3"/>
        <v>515</v>
      </c>
      <c r="E129" s="2">
        <v>58</v>
      </c>
      <c r="F129" s="3">
        <v>90</v>
      </c>
      <c r="G129" s="4">
        <v>95</v>
      </c>
      <c r="H129" s="5">
        <v>100</v>
      </c>
      <c r="I129" s="4">
        <v>95</v>
      </c>
      <c r="J129" s="6">
        <v>77</v>
      </c>
      <c r="K129">
        <v>515</v>
      </c>
      <c r="X129" t="s">
        <v>302</v>
      </c>
      <c r="Z129">
        <v>144</v>
      </c>
      <c r="AA129" t="s">
        <v>67</v>
      </c>
      <c r="AB129">
        <v>1</v>
      </c>
      <c r="AC129" s="35">
        <v>0.18</v>
      </c>
      <c r="AD129" s="36">
        <f t="shared" si="4"/>
        <v>0.18</v>
      </c>
      <c r="AF129">
        <v>288</v>
      </c>
      <c r="AG129" t="s">
        <v>1203</v>
      </c>
      <c r="AH129">
        <v>2</v>
      </c>
      <c r="AI129" s="35">
        <v>1.1999999999999999E-3</v>
      </c>
      <c r="AK129">
        <v>358</v>
      </c>
      <c r="AL129" t="s">
        <v>1409</v>
      </c>
      <c r="AM129">
        <v>0</v>
      </c>
    </row>
    <row r="130" spans="2:39" x14ac:dyDescent="0.25">
      <c r="B130">
        <v>-130</v>
      </c>
      <c r="C130" t="s">
        <v>122</v>
      </c>
      <c r="D130" s="1">
        <f t="shared" si="3"/>
        <v>335</v>
      </c>
      <c r="E130" s="2">
        <v>60</v>
      </c>
      <c r="F130" s="3">
        <v>67</v>
      </c>
      <c r="G130" s="4">
        <v>65</v>
      </c>
      <c r="H130" s="5">
        <v>51</v>
      </c>
      <c r="I130" s="4">
        <v>40</v>
      </c>
      <c r="J130" s="6">
        <v>52</v>
      </c>
      <c r="K130">
        <v>335</v>
      </c>
      <c r="X130" t="s">
        <v>303</v>
      </c>
      <c r="Z130">
        <v>282</v>
      </c>
      <c r="AA130" t="s">
        <v>1175</v>
      </c>
      <c r="AB130">
        <v>3</v>
      </c>
      <c r="AC130" s="35">
        <v>6.3299999999999995E-2</v>
      </c>
      <c r="AD130" s="36">
        <f t="shared" si="4"/>
        <v>0.18989999999999999</v>
      </c>
      <c r="AF130">
        <v>289</v>
      </c>
      <c r="AG130" t="s">
        <v>1204</v>
      </c>
      <c r="AH130">
        <v>2</v>
      </c>
      <c r="AI130" s="35">
        <v>1.1999999999999999E-3</v>
      </c>
      <c r="AK130">
        <v>359</v>
      </c>
      <c r="AL130" t="s">
        <v>1463</v>
      </c>
      <c r="AM130">
        <v>0</v>
      </c>
    </row>
    <row r="131" spans="2:39" x14ac:dyDescent="0.25">
      <c r="B131">
        <v>-131</v>
      </c>
      <c r="C131" t="s">
        <v>123</v>
      </c>
      <c r="D131" s="1">
        <f t="shared" si="3"/>
        <v>422</v>
      </c>
      <c r="E131" s="2">
        <v>75</v>
      </c>
      <c r="F131" s="3">
        <v>99</v>
      </c>
      <c r="G131" s="4">
        <v>86</v>
      </c>
      <c r="H131" s="5">
        <v>56</v>
      </c>
      <c r="I131" s="4">
        <v>45</v>
      </c>
      <c r="J131" s="6">
        <v>61</v>
      </c>
      <c r="K131">
        <v>422</v>
      </c>
      <c r="X131" s="10" t="s">
        <v>304</v>
      </c>
      <c r="Z131">
        <v>194</v>
      </c>
      <c r="AA131" t="s">
        <v>530</v>
      </c>
      <c r="AB131">
        <v>9</v>
      </c>
      <c r="AC131" s="35">
        <v>2.1100000000000001E-2</v>
      </c>
      <c r="AD131" s="36">
        <f t="shared" si="4"/>
        <v>0.18990000000000001</v>
      </c>
      <c r="AF131">
        <v>2</v>
      </c>
      <c r="AG131" t="s">
        <v>390</v>
      </c>
      <c r="AH131">
        <v>3</v>
      </c>
      <c r="AI131" s="35">
        <v>1.8E-3</v>
      </c>
      <c r="AK131">
        <v>360</v>
      </c>
      <c r="AL131" t="s">
        <v>1379</v>
      </c>
      <c r="AM131">
        <v>0</v>
      </c>
    </row>
    <row r="132" spans="2:39" x14ac:dyDescent="0.25">
      <c r="B132">
        <v>-132</v>
      </c>
      <c r="C132" t="s">
        <v>124</v>
      </c>
      <c r="D132" s="1">
        <f t="shared" ref="D132:D140" si="5">SUM(E132:J132)</f>
        <v>514</v>
      </c>
      <c r="E132" s="2">
        <v>95</v>
      </c>
      <c r="F132" s="3">
        <v>80</v>
      </c>
      <c r="G132" s="4">
        <v>76</v>
      </c>
      <c r="H132" s="5">
        <v>128</v>
      </c>
      <c r="I132" s="4">
        <v>60</v>
      </c>
      <c r="J132" s="6">
        <v>75</v>
      </c>
      <c r="K132">
        <v>514</v>
      </c>
      <c r="X132" t="s">
        <v>305</v>
      </c>
      <c r="Z132">
        <v>43</v>
      </c>
      <c r="AA132" t="s">
        <v>1591</v>
      </c>
      <c r="AB132">
        <v>2</v>
      </c>
      <c r="AC132" s="35">
        <v>9.5000000000000001E-2</v>
      </c>
      <c r="AD132" s="36">
        <f t="shared" si="4"/>
        <v>0.19</v>
      </c>
      <c r="AF132">
        <v>5</v>
      </c>
      <c r="AG132" t="s">
        <v>393</v>
      </c>
      <c r="AH132">
        <v>3</v>
      </c>
      <c r="AI132" s="35">
        <v>1.8E-3</v>
      </c>
      <c r="AK132">
        <v>361</v>
      </c>
      <c r="AL132" t="s">
        <v>1465</v>
      </c>
      <c r="AM132">
        <v>0</v>
      </c>
    </row>
    <row r="133" spans="2:39" x14ac:dyDescent="0.25">
      <c r="B133">
        <v>-133</v>
      </c>
      <c r="C133" t="s">
        <v>125</v>
      </c>
      <c r="D133" s="1">
        <f t="shared" si="5"/>
        <v>650</v>
      </c>
      <c r="E133" s="2">
        <v>100</v>
      </c>
      <c r="F133" s="3">
        <v>115</v>
      </c>
      <c r="G133" s="4">
        <v>85</v>
      </c>
      <c r="H133" s="5">
        <v>120</v>
      </c>
      <c r="I133" s="4">
        <v>105</v>
      </c>
      <c r="J133" s="6">
        <v>125</v>
      </c>
      <c r="K133">
        <v>650</v>
      </c>
      <c r="X133" s="10" t="s">
        <v>306</v>
      </c>
      <c r="Z133">
        <v>86</v>
      </c>
      <c r="AA133" t="s">
        <v>462</v>
      </c>
      <c r="AB133">
        <v>2</v>
      </c>
      <c r="AC133" s="35">
        <v>9.5000000000000001E-2</v>
      </c>
      <c r="AD133" s="36">
        <f t="shared" si="4"/>
        <v>0.19</v>
      </c>
      <c r="AF133">
        <v>8</v>
      </c>
      <c r="AG133" t="s">
        <v>396</v>
      </c>
      <c r="AH133">
        <v>3</v>
      </c>
      <c r="AI133" s="35">
        <v>1.8E-3</v>
      </c>
      <c r="AK133">
        <v>362</v>
      </c>
      <c r="AL133" t="s">
        <v>1462</v>
      </c>
      <c r="AM133">
        <v>0</v>
      </c>
    </row>
    <row r="134" spans="2:39" x14ac:dyDescent="0.25">
      <c r="B134">
        <v>-134</v>
      </c>
      <c r="C134" t="s">
        <v>126</v>
      </c>
      <c r="D134" s="1">
        <f t="shared" si="5"/>
        <v>650</v>
      </c>
      <c r="E134" s="2">
        <v>110</v>
      </c>
      <c r="F134" s="3">
        <v>85</v>
      </c>
      <c r="G134" s="4">
        <v>120</v>
      </c>
      <c r="H134" s="5">
        <v>155</v>
      </c>
      <c r="I134" s="4">
        <v>80</v>
      </c>
      <c r="J134" s="6">
        <v>100</v>
      </c>
      <c r="K134">
        <v>650</v>
      </c>
      <c r="X134" s="10" t="s">
        <v>307</v>
      </c>
      <c r="Z134">
        <v>120</v>
      </c>
      <c r="AA134" t="s">
        <v>90</v>
      </c>
      <c r="AB134">
        <v>2</v>
      </c>
      <c r="AC134" s="35">
        <v>9.5000000000000001E-2</v>
      </c>
      <c r="AD134" s="36">
        <f t="shared" si="4"/>
        <v>0.19</v>
      </c>
      <c r="AF134">
        <v>11</v>
      </c>
      <c r="AG134" t="s">
        <v>1573</v>
      </c>
      <c r="AH134">
        <v>3</v>
      </c>
      <c r="AI134" s="35">
        <v>1.8E-3</v>
      </c>
      <c r="AK134">
        <v>363</v>
      </c>
      <c r="AL134" t="s">
        <v>1394</v>
      </c>
      <c r="AM134">
        <v>0</v>
      </c>
    </row>
    <row r="135" spans="2:39" x14ac:dyDescent="0.25">
      <c r="B135">
        <v>-135</v>
      </c>
      <c r="C135" t="s">
        <v>127</v>
      </c>
      <c r="D135" s="1">
        <f t="shared" si="5"/>
        <v>450</v>
      </c>
      <c r="E135" s="2">
        <v>70</v>
      </c>
      <c r="F135" s="3">
        <v>50</v>
      </c>
      <c r="G135" s="4">
        <v>90</v>
      </c>
      <c r="H135" s="5">
        <v>100</v>
      </c>
      <c r="I135" s="4">
        <v>90</v>
      </c>
      <c r="J135" s="6">
        <v>50</v>
      </c>
      <c r="K135">
        <v>450</v>
      </c>
      <c r="X135" s="10" t="s">
        <v>308</v>
      </c>
      <c r="Z135">
        <v>243</v>
      </c>
      <c r="AA135" t="s">
        <v>1121</v>
      </c>
      <c r="AB135">
        <v>2</v>
      </c>
      <c r="AC135" s="35">
        <v>9.5000000000000001E-2</v>
      </c>
      <c r="AD135" s="36">
        <f t="shared" si="4"/>
        <v>0.19</v>
      </c>
      <c r="AF135">
        <v>26</v>
      </c>
      <c r="AG135" t="s">
        <v>11</v>
      </c>
      <c r="AH135">
        <v>3</v>
      </c>
      <c r="AI135" s="35">
        <v>1.8E-3</v>
      </c>
      <c r="AK135">
        <v>364</v>
      </c>
      <c r="AL135" t="s">
        <v>1385</v>
      </c>
      <c r="AM135">
        <v>0</v>
      </c>
    </row>
    <row r="136" spans="2:39" x14ac:dyDescent="0.25">
      <c r="B136">
        <v>-136</v>
      </c>
      <c r="C136" t="s">
        <v>128</v>
      </c>
      <c r="D136" s="1">
        <f t="shared" si="5"/>
        <v>450</v>
      </c>
      <c r="E136" s="2">
        <v>50</v>
      </c>
      <c r="F136" s="3">
        <v>50</v>
      </c>
      <c r="G136" s="4">
        <v>100</v>
      </c>
      <c r="H136" s="5">
        <v>80</v>
      </c>
      <c r="I136" s="4">
        <v>100</v>
      </c>
      <c r="J136" s="6">
        <v>70</v>
      </c>
      <c r="K136">
        <v>450</v>
      </c>
      <c r="X136" s="10" t="s">
        <v>188</v>
      </c>
      <c r="Z136">
        <v>292</v>
      </c>
      <c r="AA136" t="s">
        <v>1190</v>
      </c>
      <c r="AB136">
        <v>2</v>
      </c>
      <c r="AC136" s="35">
        <v>9.5000000000000001E-2</v>
      </c>
      <c r="AD136" s="36">
        <f t="shared" si="4"/>
        <v>0.19</v>
      </c>
      <c r="AF136">
        <v>30</v>
      </c>
      <c r="AG136" t="s">
        <v>414</v>
      </c>
      <c r="AH136">
        <v>3</v>
      </c>
      <c r="AI136" s="35">
        <v>1.8E-3</v>
      </c>
      <c r="AK136">
        <v>367</v>
      </c>
      <c r="AL136" t="s">
        <v>1399</v>
      </c>
      <c r="AM136">
        <v>0</v>
      </c>
    </row>
    <row r="137" spans="2:39" x14ac:dyDescent="0.25">
      <c r="B137">
        <v>-137</v>
      </c>
      <c r="C137" t="s">
        <v>129</v>
      </c>
      <c r="D137" s="1">
        <f t="shared" si="5"/>
        <v>440</v>
      </c>
      <c r="E137" s="2">
        <v>60</v>
      </c>
      <c r="F137" s="3">
        <v>55</v>
      </c>
      <c r="G137" s="4">
        <v>90</v>
      </c>
      <c r="H137" s="5">
        <v>55</v>
      </c>
      <c r="I137" s="4">
        <v>80</v>
      </c>
      <c r="J137" s="6">
        <v>100</v>
      </c>
      <c r="K137">
        <v>440</v>
      </c>
      <c r="X137" t="s">
        <v>309</v>
      </c>
      <c r="Z137">
        <v>164</v>
      </c>
      <c r="AA137" t="s">
        <v>516</v>
      </c>
      <c r="AB137">
        <v>1</v>
      </c>
      <c r="AC137" s="35">
        <v>0.19</v>
      </c>
      <c r="AD137" s="36">
        <f t="shared" si="4"/>
        <v>0.19</v>
      </c>
      <c r="AF137">
        <v>32</v>
      </c>
      <c r="AG137" t="s">
        <v>416</v>
      </c>
      <c r="AH137">
        <v>3</v>
      </c>
      <c r="AI137" s="35">
        <v>1.8E-3</v>
      </c>
      <c r="AK137">
        <v>369</v>
      </c>
      <c r="AL137" t="s">
        <v>1378</v>
      </c>
      <c r="AM137">
        <v>0</v>
      </c>
    </row>
    <row r="138" spans="2:39" x14ac:dyDescent="0.25">
      <c r="B138">
        <v>-138</v>
      </c>
      <c r="C138" t="s">
        <v>130</v>
      </c>
      <c r="D138" s="1">
        <f t="shared" si="5"/>
        <v>610</v>
      </c>
      <c r="E138" s="2">
        <v>90</v>
      </c>
      <c r="F138" s="3">
        <v>55</v>
      </c>
      <c r="G138" s="4">
        <v>80</v>
      </c>
      <c r="H138" s="5">
        <v>195</v>
      </c>
      <c r="I138" s="4">
        <v>100</v>
      </c>
      <c r="J138" s="6">
        <v>90</v>
      </c>
      <c r="K138">
        <v>610</v>
      </c>
      <c r="X138" s="10" t="s">
        <v>310</v>
      </c>
      <c r="Y138" t="s">
        <v>311</v>
      </c>
      <c r="Z138">
        <v>221</v>
      </c>
      <c r="AA138" t="s">
        <v>557</v>
      </c>
      <c r="AB138">
        <v>4</v>
      </c>
      <c r="AC138" s="35">
        <v>0.05</v>
      </c>
      <c r="AD138" s="36">
        <f t="shared" si="4"/>
        <v>0.2</v>
      </c>
      <c r="AF138">
        <v>36</v>
      </c>
      <c r="AG138" t="s">
        <v>420</v>
      </c>
      <c r="AH138">
        <v>3</v>
      </c>
      <c r="AI138" s="35">
        <v>1.8E-3</v>
      </c>
      <c r="AL138" t="s">
        <v>1631</v>
      </c>
      <c r="AM138">
        <v>0</v>
      </c>
    </row>
    <row r="139" spans="2:39" x14ac:dyDescent="0.25">
      <c r="B139">
        <v>-139</v>
      </c>
      <c r="C139" t="s">
        <v>131</v>
      </c>
      <c r="D139" s="1">
        <f t="shared" si="5"/>
        <v>610</v>
      </c>
      <c r="E139" s="2">
        <v>100</v>
      </c>
      <c r="F139" s="3">
        <v>70</v>
      </c>
      <c r="G139" s="4">
        <v>125</v>
      </c>
      <c r="H139" s="5">
        <v>120</v>
      </c>
      <c r="I139" s="4">
        <v>100</v>
      </c>
      <c r="J139" s="6">
        <v>95</v>
      </c>
      <c r="K139">
        <v>610</v>
      </c>
      <c r="X139" t="s">
        <v>312</v>
      </c>
      <c r="Z139">
        <v>147</v>
      </c>
      <c r="AA139" t="s">
        <v>505</v>
      </c>
      <c r="AB139">
        <v>1</v>
      </c>
      <c r="AC139" s="35">
        <v>0.2</v>
      </c>
      <c r="AD139" s="36">
        <f t="shared" si="4"/>
        <v>0.2</v>
      </c>
      <c r="AF139">
        <v>52</v>
      </c>
      <c r="AG139" t="s">
        <v>1597</v>
      </c>
      <c r="AH139">
        <v>3</v>
      </c>
      <c r="AI139" s="35">
        <v>1.8E-3</v>
      </c>
      <c r="AL139" t="s">
        <v>1632</v>
      </c>
      <c r="AM139">
        <v>0</v>
      </c>
    </row>
    <row r="140" spans="2:39" x14ac:dyDescent="0.25">
      <c r="B140">
        <v>-140</v>
      </c>
      <c r="C140" t="s">
        <v>132</v>
      </c>
      <c r="D140" s="1">
        <f t="shared" si="5"/>
        <v>620</v>
      </c>
      <c r="E140" s="2">
        <v>130</v>
      </c>
      <c r="F140" s="3">
        <v>90</v>
      </c>
      <c r="G140" s="4">
        <v>110</v>
      </c>
      <c r="H140" s="5">
        <v>80</v>
      </c>
      <c r="I140" s="4">
        <v>110</v>
      </c>
      <c r="J140" s="6">
        <v>100</v>
      </c>
      <c r="K140">
        <v>620</v>
      </c>
      <c r="X140" t="s">
        <v>313</v>
      </c>
      <c r="Z140">
        <v>35</v>
      </c>
      <c r="AA140" t="s">
        <v>419</v>
      </c>
      <c r="AB140">
        <v>3</v>
      </c>
      <c r="AC140" s="35">
        <v>6.6699999999999995E-2</v>
      </c>
      <c r="AD140" s="36">
        <f t="shared" si="4"/>
        <v>0.2001</v>
      </c>
      <c r="AF140">
        <v>57</v>
      </c>
      <c r="AG140" t="s">
        <v>1602</v>
      </c>
      <c r="AH140">
        <v>3</v>
      </c>
      <c r="AI140" s="35">
        <v>1.8E-3</v>
      </c>
      <c r="AL140" t="s">
        <v>1641</v>
      </c>
      <c r="AM140">
        <v>0</v>
      </c>
    </row>
    <row r="141" spans="2:39" x14ac:dyDescent="0.25">
      <c r="B141">
        <v>-141</v>
      </c>
      <c r="C141" t="s">
        <v>168</v>
      </c>
      <c r="D141" s="1">
        <f>D59</f>
        <v>350</v>
      </c>
      <c r="E141" s="2">
        <f t="shared" ref="E141:K141" si="6">E59</f>
        <v>55</v>
      </c>
      <c r="F141" s="3">
        <f t="shared" si="6"/>
        <v>60</v>
      </c>
      <c r="G141" s="4">
        <f t="shared" si="6"/>
        <v>40</v>
      </c>
      <c r="H141" s="5">
        <f t="shared" si="6"/>
        <v>60</v>
      </c>
      <c r="I141" s="4">
        <f t="shared" si="6"/>
        <v>55</v>
      </c>
      <c r="J141" s="6">
        <f t="shared" si="6"/>
        <v>80</v>
      </c>
      <c r="K141" s="9">
        <f t="shared" si="6"/>
        <v>350</v>
      </c>
      <c r="X141" t="s">
        <v>314</v>
      </c>
      <c r="Z141">
        <v>21</v>
      </c>
      <c r="AA141" t="s">
        <v>1582</v>
      </c>
      <c r="AB141">
        <v>3</v>
      </c>
      <c r="AC141" s="35">
        <v>7.0000000000000007E-2</v>
      </c>
      <c r="AD141" s="36">
        <f t="shared" si="4"/>
        <v>0.21000000000000002</v>
      </c>
      <c r="AF141">
        <v>66</v>
      </c>
      <c r="AG141" t="s">
        <v>1609</v>
      </c>
      <c r="AH141">
        <v>3</v>
      </c>
      <c r="AI141" s="35">
        <v>1.8E-3</v>
      </c>
      <c r="AL141" t="s">
        <v>1652</v>
      </c>
      <c r="AM141">
        <v>0</v>
      </c>
    </row>
    <row r="142" spans="2:39" x14ac:dyDescent="0.25">
      <c r="B142">
        <v>-142</v>
      </c>
      <c r="C142" t="s">
        <v>165</v>
      </c>
      <c r="D142" s="1">
        <f t="shared" ref="D142:K142" si="7">D59</f>
        <v>350</v>
      </c>
      <c r="E142" s="2">
        <f t="shared" si="7"/>
        <v>55</v>
      </c>
      <c r="F142" s="3">
        <f t="shared" si="7"/>
        <v>60</v>
      </c>
      <c r="G142" s="4">
        <f t="shared" si="7"/>
        <v>40</v>
      </c>
      <c r="H142" s="5">
        <f t="shared" si="7"/>
        <v>60</v>
      </c>
      <c r="I142" s="4">
        <f t="shared" si="7"/>
        <v>55</v>
      </c>
      <c r="J142" s="6">
        <f t="shared" si="7"/>
        <v>80</v>
      </c>
      <c r="K142" s="9">
        <f t="shared" si="7"/>
        <v>350</v>
      </c>
      <c r="X142" s="12" t="s">
        <v>315</v>
      </c>
      <c r="Y142" t="s">
        <v>316</v>
      </c>
      <c r="Z142">
        <v>45</v>
      </c>
      <c r="AA142" t="s">
        <v>575</v>
      </c>
      <c r="AB142">
        <v>2</v>
      </c>
      <c r="AC142" s="35">
        <v>0.11</v>
      </c>
      <c r="AD142" s="36">
        <f t="shared" si="4"/>
        <v>0.22</v>
      </c>
      <c r="AF142">
        <v>80</v>
      </c>
      <c r="AG142" t="s">
        <v>1615</v>
      </c>
      <c r="AH142">
        <v>3</v>
      </c>
      <c r="AI142" s="35">
        <v>1.8E-3</v>
      </c>
      <c r="AL142" t="s">
        <v>1666</v>
      </c>
      <c r="AM142">
        <v>0</v>
      </c>
    </row>
    <row r="143" spans="2:39" x14ac:dyDescent="0.25">
      <c r="B143">
        <v>-143</v>
      </c>
      <c r="C143" t="s">
        <v>169</v>
      </c>
      <c r="D143" s="1">
        <f>D60</f>
        <v>500</v>
      </c>
      <c r="E143" s="2">
        <f t="shared" ref="E143:K143" si="8">E60</f>
        <v>105</v>
      </c>
      <c r="F143" s="3">
        <f t="shared" si="8"/>
        <v>88</v>
      </c>
      <c r="G143" s="4">
        <f t="shared" si="8"/>
        <v>60</v>
      </c>
      <c r="H143" s="5">
        <f t="shared" si="8"/>
        <v>112</v>
      </c>
      <c r="I143" s="4">
        <f t="shared" si="8"/>
        <v>65</v>
      </c>
      <c r="J143" s="6">
        <f t="shared" si="8"/>
        <v>70</v>
      </c>
      <c r="K143" s="9">
        <f t="shared" si="8"/>
        <v>500</v>
      </c>
      <c r="X143" t="s">
        <v>317</v>
      </c>
      <c r="Z143">
        <v>42</v>
      </c>
      <c r="AA143" t="s">
        <v>1590</v>
      </c>
      <c r="AB143">
        <v>4</v>
      </c>
      <c r="AC143" s="35">
        <v>5.7500000000000002E-2</v>
      </c>
      <c r="AD143" s="36">
        <f t="shared" si="4"/>
        <v>0.23</v>
      </c>
      <c r="AF143">
        <v>82</v>
      </c>
      <c r="AG143" t="s">
        <v>458</v>
      </c>
      <c r="AH143">
        <v>3</v>
      </c>
      <c r="AI143" s="35">
        <v>1.8E-3</v>
      </c>
      <c r="AK143">
        <v>73</v>
      </c>
      <c r="AL143" t="s">
        <v>1262</v>
      </c>
      <c r="AM143">
        <v>1</v>
      </c>
    </row>
    <row r="144" spans="2:39" x14ac:dyDescent="0.25">
      <c r="B144">
        <v>-144</v>
      </c>
      <c r="C144" t="s">
        <v>170</v>
      </c>
      <c r="D144" s="1">
        <f>D60</f>
        <v>500</v>
      </c>
      <c r="E144" s="2">
        <f t="shared" ref="E144:K144" si="9">E60</f>
        <v>105</v>
      </c>
      <c r="F144" s="3">
        <f t="shared" si="9"/>
        <v>88</v>
      </c>
      <c r="G144" s="4">
        <f t="shared" si="9"/>
        <v>60</v>
      </c>
      <c r="H144" s="5">
        <f t="shared" si="9"/>
        <v>112</v>
      </c>
      <c r="I144" s="4">
        <f t="shared" si="9"/>
        <v>65</v>
      </c>
      <c r="J144" s="6">
        <f t="shared" si="9"/>
        <v>70</v>
      </c>
      <c r="K144" s="9">
        <f t="shared" si="9"/>
        <v>500</v>
      </c>
      <c r="T144">
        <v>0</v>
      </c>
      <c r="U144" t="s">
        <v>805</v>
      </c>
      <c r="V144" t="s">
        <v>854</v>
      </c>
      <c r="W144" t="s">
        <v>805</v>
      </c>
      <c r="X144" s="10" t="s">
        <v>318</v>
      </c>
      <c r="Z144">
        <v>33</v>
      </c>
      <c r="AA144" t="s">
        <v>417</v>
      </c>
      <c r="AB144">
        <v>3</v>
      </c>
      <c r="AC144" s="35">
        <v>7.6700000000000004E-2</v>
      </c>
      <c r="AD144" s="36">
        <f t="shared" si="4"/>
        <v>0.23010000000000003</v>
      </c>
      <c r="AF144">
        <v>85</v>
      </c>
      <c r="AG144" t="s">
        <v>461</v>
      </c>
      <c r="AH144">
        <v>3</v>
      </c>
      <c r="AI144" s="35">
        <v>1.8E-3</v>
      </c>
      <c r="AK144">
        <v>76</v>
      </c>
      <c r="AL144" t="s">
        <v>1219</v>
      </c>
      <c r="AM144">
        <v>1</v>
      </c>
    </row>
    <row r="145" spans="1:40" x14ac:dyDescent="0.25">
      <c r="A145" t="s">
        <v>1188</v>
      </c>
      <c r="B145" t="s">
        <v>873</v>
      </c>
      <c r="C145" t="s">
        <v>582</v>
      </c>
      <c r="D145" s="1" t="s">
        <v>583</v>
      </c>
      <c r="E145" s="2" t="s">
        <v>584</v>
      </c>
      <c r="F145" s="3" t="s">
        <v>585</v>
      </c>
      <c r="G145" s="4" t="s">
        <v>586</v>
      </c>
      <c r="H145" s="5" t="s">
        <v>587</v>
      </c>
      <c r="I145" s="4" t="s">
        <v>588</v>
      </c>
      <c r="J145" s="6" t="s">
        <v>589</v>
      </c>
      <c r="K145" t="s">
        <v>590</v>
      </c>
      <c r="N145" s="19"/>
      <c r="T145">
        <v>1</v>
      </c>
      <c r="U145" t="s">
        <v>806</v>
      </c>
      <c r="V145" t="s">
        <v>855</v>
      </c>
      <c r="X145" t="s">
        <v>319</v>
      </c>
      <c r="Z145">
        <v>265</v>
      </c>
      <c r="AA145" t="s">
        <v>1150</v>
      </c>
      <c r="AB145">
        <v>3</v>
      </c>
      <c r="AC145" s="35">
        <v>0.08</v>
      </c>
      <c r="AD145" s="36">
        <f t="shared" si="4"/>
        <v>0.24</v>
      </c>
      <c r="AF145">
        <v>102</v>
      </c>
      <c r="AG145" t="s">
        <v>476</v>
      </c>
      <c r="AH145">
        <v>3</v>
      </c>
      <c r="AI145" s="35">
        <v>1.8E-3</v>
      </c>
      <c r="AK145">
        <v>77</v>
      </c>
      <c r="AL145" t="s">
        <v>1358</v>
      </c>
      <c r="AM145">
        <v>1</v>
      </c>
    </row>
    <row r="146" spans="1:40" x14ac:dyDescent="0.25">
      <c r="A146">
        <v>1</v>
      </c>
      <c r="B146">
        <v>1</v>
      </c>
      <c r="C146" t="s">
        <v>389</v>
      </c>
      <c r="D146" s="1">
        <f t="shared" ref="D146:D209" si="10">SUM($E146:$J146)</f>
        <v>335</v>
      </c>
      <c r="E146" s="2">
        <v>58</v>
      </c>
      <c r="F146" s="3">
        <v>58</v>
      </c>
      <c r="G146" s="4">
        <v>69</v>
      </c>
      <c r="H146" s="5">
        <v>46</v>
      </c>
      <c r="I146" s="4">
        <v>69</v>
      </c>
      <c r="J146" s="6">
        <v>35</v>
      </c>
      <c r="K146">
        <v>335</v>
      </c>
      <c r="L146" t="s">
        <v>591</v>
      </c>
      <c r="M146" t="s">
        <v>598</v>
      </c>
      <c r="N146" s="19" t="s">
        <v>656</v>
      </c>
      <c r="O146" s="11" t="s">
        <v>720</v>
      </c>
      <c r="P146">
        <v>1</v>
      </c>
      <c r="Q146" t="str">
        <f t="shared" ref="Q146:Q209" si="11">C146</f>
        <v>Twigle</v>
      </c>
      <c r="R146">
        <v>18</v>
      </c>
      <c r="T146">
        <v>2</v>
      </c>
      <c r="U146" t="s">
        <v>807</v>
      </c>
      <c r="V146" t="s">
        <v>855</v>
      </c>
      <c r="W146" t="s">
        <v>1183</v>
      </c>
      <c r="X146" t="s">
        <v>320</v>
      </c>
      <c r="Z146">
        <v>55</v>
      </c>
      <c r="AA146" t="s">
        <v>1600</v>
      </c>
      <c r="AB146">
        <v>3</v>
      </c>
      <c r="AC146" s="35">
        <v>8.3299999999999999E-2</v>
      </c>
      <c r="AD146" s="36">
        <f t="shared" si="4"/>
        <v>0.24990000000000001</v>
      </c>
      <c r="AF146">
        <v>104</v>
      </c>
      <c r="AG146" t="s">
        <v>478</v>
      </c>
      <c r="AH146">
        <v>3</v>
      </c>
      <c r="AI146" s="35">
        <v>1.8E-3</v>
      </c>
      <c r="AK146">
        <v>83</v>
      </c>
      <c r="AL146" t="s">
        <v>1272</v>
      </c>
      <c r="AM146">
        <v>1</v>
      </c>
    </row>
    <row r="147" spans="1:40" x14ac:dyDescent="0.25">
      <c r="A147">
        <v>2</v>
      </c>
      <c r="B147">
        <v>2</v>
      </c>
      <c r="C147" t="s">
        <v>390</v>
      </c>
      <c r="D147" s="1">
        <f t="shared" si="10"/>
        <v>402</v>
      </c>
      <c r="E147" s="2">
        <v>73</v>
      </c>
      <c r="F147" s="3">
        <v>75</v>
      </c>
      <c r="G147" s="4">
        <v>80</v>
      </c>
      <c r="H147" s="5">
        <v>48</v>
      </c>
      <c r="I147" s="4">
        <v>89</v>
      </c>
      <c r="J147" s="6">
        <v>37</v>
      </c>
      <c r="K147">
        <v>402</v>
      </c>
      <c r="L147" t="s">
        <v>591</v>
      </c>
      <c r="M147" t="s">
        <v>598</v>
      </c>
      <c r="N147" s="19" t="s">
        <v>656</v>
      </c>
      <c r="O147" s="51" t="s">
        <v>727</v>
      </c>
      <c r="P147" t="s">
        <v>1506</v>
      </c>
      <c r="Q147" t="str">
        <f t="shared" si="11"/>
        <v>Torgged</v>
      </c>
      <c r="R147">
        <v>36</v>
      </c>
      <c r="T147">
        <v>3</v>
      </c>
      <c r="U147" t="s">
        <v>808</v>
      </c>
      <c r="V147" t="s">
        <v>855</v>
      </c>
      <c r="X147" s="10" t="s">
        <v>321</v>
      </c>
      <c r="Z147">
        <v>152</v>
      </c>
      <c r="AA147" t="s">
        <v>510</v>
      </c>
      <c r="AB147">
        <v>3</v>
      </c>
      <c r="AC147" s="35">
        <v>8.3299999999999999E-2</v>
      </c>
      <c r="AD147" s="36">
        <f t="shared" si="4"/>
        <v>0.24990000000000001</v>
      </c>
      <c r="AF147">
        <v>111</v>
      </c>
      <c r="AG147" t="s">
        <v>43</v>
      </c>
      <c r="AH147">
        <v>3</v>
      </c>
      <c r="AI147" s="35">
        <v>1.8E-3</v>
      </c>
      <c r="AK147">
        <v>84</v>
      </c>
      <c r="AL147" t="s">
        <v>1224</v>
      </c>
      <c r="AM147">
        <v>1</v>
      </c>
    </row>
    <row r="148" spans="1:40" x14ac:dyDescent="0.25">
      <c r="A148">
        <v>3</v>
      </c>
      <c r="B148">
        <v>3</v>
      </c>
      <c r="C148" t="s">
        <v>391</v>
      </c>
      <c r="D148" s="1">
        <f t="shared" si="10"/>
        <v>517</v>
      </c>
      <c r="E148" s="2">
        <v>95</v>
      </c>
      <c r="F148" s="3">
        <v>87</v>
      </c>
      <c r="G148" s="4">
        <v>91</v>
      </c>
      <c r="H148" s="5">
        <v>95</v>
      </c>
      <c r="I148" s="4">
        <v>110</v>
      </c>
      <c r="J148" s="6">
        <v>39</v>
      </c>
      <c r="K148">
        <v>517</v>
      </c>
      <c r="L148" t="s">
        <v>591</v>
      </c>
      <c r="M148" t="s">
        <v>598</v>
      </c>
      <c r="N148" s="19" t="s">
        <v>656</v>
      </c>
      <c r="O148" s="53" t="s">
        <v>717</v>
      </c>
      <c r="P148" t="s">
        <v>1498</v>
      </c>
      <c r="Q148" t="str">
        <f t="shared" si="11"/>
        <v>Tortugis</v>
      </c>
      <c r="T148">
        <v>4</v>
      </c>
      <c r="U148" t="s">
        <v>809</v>
      </c>
      <c r="V148" t="s">
        <v>855</v>
      </c>
      <c r="W148" t="s">
        <v>1184</v>
      </c>
      <c r="X148" t="s">
        <v>322</v>
      </c>
      <c r="Z148">
        <v>250</v>
      </c>
      <c r="AA148" t="s">
        <v>1126</v>
      </c>
      <c r="AB148">
        <v>4</v>
      </c>
      <c r="AC148" s="35">
        <v>6.25E-2</v>
      </c>
      <c r="AD148" s="36">
        <f t="shared" si="4"/>
        <v>0.25</v>
      </c>
      <c r="AF148">
        <v>115</v>
      </c>
      <c r="AG148" t="s">
        <v>485</v>
      </c>
      <c r="AH148">
        <v>3</v>
      </c>
      <c r="AI148" s="35">
        <v>1.8E-3</v>
      </c>
      <c r="AK148">
        <v>85</v>
      </c>
      <c r="AL148" t="s">
        <v>878</v>
      </c>
      <c r="AM148">
        <v>1</v>
      </c>
    </row>
    <row r="149" spans="1:40" x14ac:dyDescent="0.25">
      <c r="A149">
        <v>4</v>
      </c>
      <c r="B149">
        <v>4</v>
      </c>
      <c r="C149" t="s">
        <v>392</v>
      </c>
      <c r="D149" s="1">
        <f t="shared" si="10"/>
        <v>329</v>
      </c>
      <c r="E149" s="2">
        <v>60</v>
      </c>
      <c r="F149" s="3">
        <v>49</v>
      </c>
      <c r="G149" s="4">
        <v>54</v>
      </c>
      <c r="H149" s="5">
        <v>74</v>
      </c>
      <c r="I149" s="4">
        <v>58</v>
      </c>
      <c r="J149" s="6">
        <v>34</v>
      </c>
      <c r="K149">
        <v>329</v>
      </c>
      <c r="L149" t="s">
        <v>72</v>
      </c>
      <c r="M149" t="s">
        <v>867</v>
      </c>
      <c r="N149" s="19" t="s">
        <v>644</v>
      </c>
      <c r="O149" s="16" t="s">
        <v>728</v>
      </c>
      <c r="P149" s="10">
        <v>4</v>
      </c>
      <c r="Q149" t="str">
        <f t="shared" si="11"/>
        <v>Lagma</v>
      </c>
      <c r="R149">
        <v>16</v>
      </c>
      <c r="T149">
        <v>5</v>
      </c>
      <c r="U149" t="s">
        <v>810</v>
      </c>
      <c r="V149" t="s">
        <v>855</v>
      </c>
      <c r="X149" s="11" t="s">
        <v>190</v>
      </c>
      <c r="Z149">
        <v>295</v>
      </c>
      <c r="AA149" t="s">
        <v>1195</v>
      </c>
      <c r="AB149">
        <v>4</v>
      </c>
      <c r="AC149" s="35">
        <v>6.25E-2</v>
      </c>
      <c r="AD149" s="36">
        <f t="shared" si="4"/>
        <v>0.25</v>
      </c>
      <c r="AF149">
        <v>129</v>
      </c>
      <c r="AG149" t="s">
        <v>580</v>
      </c>
      <c r="AH149">
        <v>3</v>
      </c>
      <c r="AI149" s="35">
        <v>1.8E-3</v>
      </c>
      <c r="AK149">
        <v>86</v>
      </c>
      <c r="AL149" t="s">
        <v>879</v>
      </c>
      <c r="AM149">
        <v>1</v>
      </c>
    </row>
    <row r="150" spans="1:40" x14ac:dyDescent="0.25">
      <c r="A150">
        <v>5</v>
      </c>
      <c r="B150">
        <v>5</v>
      </c>
      <c r="C150" t="s">
        <v>393</v>
      </c>
      <c r="D150" s="1">
        <f t="shared" si="10"/>
        <v>399</v>
      </c>
      <c r="E150" s="2">
        <v>85</v>
      </c>
      <c r="F150" s="3">
        <v>53</v>
      </c>
      <c r="G150" s="4">
        <v>69</v>
      </c>
      <c r="H150" s="5">
        <v>90</v>
      </c>
      <c r="I150" s="4">
        <v>66</v>
      </c>
      <c r="J150" s="6">
        <v>36</v>
      </c>
      <c r="K150">
        <v>399</v>
      </c>
      <c r="L150" t="s">
        <v>72</v>
      </c>
      <c r="M150" t="s">
        <v>867</v>
      </c>
      <c r="N150" s="19" t="s">
        <v>644</v>
      </c>
      <c r="O150" s="16" t="s">
        <v>729</v>
      </c>
      <c r="P150" s="10">
        <v>5</v>
      </c>
      <c r="Q150" t="str">
        <f t="shared" si="11"/>
        <v>Maguide</v>
      </c>
      <c r="R150">
        <v>36</v>
      </c>
      <c r="T150">
        <v>6</v>
      </c>
      <c r="U150" t="s">
        <v>811</v>
      </c>
      <c r="V150" t="s">
        <v>855</v>
      </c>
      <c r="X150" t="s">
        <v>323</v>
      </c>
      <c r="Z150">
        <v>126</v>
      </c>
      <c r="AA150" t="s">
        <v>491</v>
      </c>
      <c r="AB150">
        <v>2</v>
      </c>
      <c r="AC150" s="35">
        <v>0.125</v>
      </c>
      <c r="AD150" s="36">
        <f t="shared" si="4"/>
        <v>0.25</v>
      </c>
      <c r="AF150">
        <v>132</v>
      </c>
      <c r="AG150" t="s">
        <v>494</v>
      </c>
      <c r="AH150">
        <v>3</v>
      </c>
      <c r="AI150" s="35">
        <v>1.8E-3</v>
      </c>
      <c r="AK150">
        <v>87</v>
      </c>
      <c r="AL150" t="s">
        <v>880</v>
      </c>
      <c r="AM150">
        <v>1</v>
      </c>
    </row>
    <row r="151" spans="1:40" x14ac:dyDescent="0.25">
      <c r="A151">
        <v>6</v>
      </c>
      <c r="B151">
        <v>6</v>
      </c>
      <c r="C151" t="s">
        <v>394</v>
      </c>
      <c r="D151" s="1">
        <f t="shared" si="10"/>
        <v>521</v>
      </c>
      <c r="E151" s="2">
        <v>89</v>
      </c>
      <c r="F151" s="3">
        <v>66</v>
      </c>
      <c r="G151" s="4">
        <v>81</v>
      </c>
      <c r="H151" s="5">
        <v>111</v>
      </c>
      <c r="I151" s="4">
        <v>72</v>
      </c>
      <c r="J151" s="6">
        <v>102</v>
      </c>
      <c r="K151">
        <v>521</v>
      </c>
      <c r="L151" t="s">
        <v>72</v>
      </c>
      <c r="M151" t="s">
        <v>867</v>
      </c>
      <c r="N151" s="19" t="s">
        <v>644</v>
      </c>
      <c r="O151" s="16" t="s">
        <v>737</v>
      </c>
      <c r="P151" s="10">
        <v>6</v>
      </c>
      <c r="Q151" t="str">
        <f t="shared" si="11"/>
        <v>Magron</v>
      </c>
      <c r="T151">
        <v>7</v>
      </c>
      <c r="U151" t="s">
        <v>812</v>
      </c>
      <c r="V151" t="s">
        <v>855</v>
      </c>
      <c r="X151" t="s">
        <v>324</v>
      </c>
      <c r="Z151">
        <v>171</v>
      </c>
      <c r="AA151" t="s">
        <v>520</v>
      </c>
      <c r="AB151">
        <v>2</v>
      </c>
      <c r="AC151" s="35">
        <v>0.125</v>
      </c>
      <c r="AD151" s="36">
        <f t="shared" si="4"/>
        <v>0.25</v>
      </c>
      <c r="AF151">
        <v>135</v>
      </c>
      <c r="AG151" t="s">
        <v>62</v>
      </c>
      <c r="AH151">
        <v>3</v>
      </c>
      <c r="AI151" s="35">
        <v>1.8E-3</v>
      </c>
      <c r="AK151">
        <v>88</v>
      </c>
      <c r="AL151" t="s">
        <v>894</v>
      </c>
      <c r="AM151">
        <v>1</v>
      </c>
    </row>
    <row r="152" spans="1:40" x14ac:dyDescent="0.25">
      <c r="A152">
        <v>7</v>
      </c>
      <c r="B152">
        <v>7</v>
      </c>
      <c r="C152" t="s">
        <v>395</v>
      </c>
      <c r="D152" s="1">
        <f t="shared" si="10"/>
        <v>325</v>
      </c>
      <c r="E152" s="2">
        <v>45</v>
      </c>
      <c r="F152" s="3">
        <v>70</v>
      </c>
      <c r="G152" s="4">
        <v>56</v>
      </c>
      <c r="H152" s="5">
        <v>46</v>
      </c>
      <c r="I152" s="4">
        <v>45</v>
      </c>
      <c r="J152" s="6">
        <v>63</v>
      </c>
      <c r="K152">
        <v>325</v>
      </c>
      <c r="L152" t="s">
        <v>592</v>
      </c>
      <c r="M152" t="s">
        <v>673</v>
      </c>
      <c r="N152" s="19" t="s">
        <v>1112</v>
      </c>
      <c r="O152" s="16" t="s">
        <v>743</v>
      </c>
      <c r="P152" s="10">
        <v>7</v>
      </c>
      <c r="Q152" t="str">
        <f t="shared" si="11"/>
        <v>Lizish</v>
      </c>
      <c r="R152">
        <v>17</v>
      </c>
      <c r="T152">
        <v>8</v>
      </c>
      <c r="U152" t="s">
        <v>813</v>
      </c>
      <c r="V152" t="s">
        <v>855</v>
      </c>
      <c r="X152" s="10" t="s">
        <v>325</v>
      </c>
      <c r="Y152" t="s">
        <v>580</v>
      </c>
      <c r="Z152">
        <v>187</v>
      </c>
      <c r="AA152" t="s">
        <v>95</v>
      </c>
      <c r="AB152">
        <v>1</v>
      </c>
      <c r="AC152" s="35">
        <v>0.25</v>
      </c>
      <c r="AD152" s="36">
        <f t="shared" si="4"/>
        <v>0.25</v>
      </c>
      <c r="AF152">
        <v>148</v>
      </c>
      <c r="AG152" t="s">
        <v>506</v>
      </c>
      <c r="AH152">
        <v>3</v>
      </c>
      <c r="AI152" s="35">
        <v>1.8E-3</v>
      </c>
      <c r="AK152">
        <v>89</v>
      </c>
      <c r="AL152" t="s">
        <v>876</v>
      </c>
      <c r="AM152">
        <v>1</v>
      </c>
      <c r="AN152" t="s">
        <v>1554</v>
      </c>
    </row>
    <row r="153" spans="1:40" x14ac:dyDescent="0.25">
      <c r="A153">
        <v>8</v>
      </c>
      <c r="B153">
        <v>8</v>
      </c>
      <c r="C153" t="s">
        <v>396</v>
      </c>
      <c r="D153" s="1">
        <f t="shared" si="10"/>
        <v>400</v>
      </c>
      <c r="E153" s="2">
        <v>60</v>
      </c>
      <c r="F153" s="3">
        <v>90</v>
      </c>
      <c r="G153" s="4">
        <v>76</v>
      </c>
      <c r="H153" s="5">
        <v>49</v>
      </c>
      <c r="I153" s="4">
        <v>55</v>
      </c>
      <c r="J153" s="6">
        <v>70</v>
      </c>
      <c r="K153">
        <v>400</v>
      </c>
      <c r="L153" t="s">
        <v>592</v>
      </c>
      <c r="M153" t="s">
        <v>673</v>
      </c>
      <c r="N153" s="19" t="s">
        <v>1112</v>
      </c>
      <c r="O153" s="16" t="s">
        <v>730</v>
      </c>
      <c r="P153" s="10">
        <v>8</v>
      </c>
      <c r="Q153" t="str">
        <f t="shared" si="11"/>
        <v>Iguaton</v>
      </c>
      <c r="R153">
        <v>36</v>
      </c>
      <c r="T153">
        <v>9</v>
      </c>
      <c r="U153" t="s">
        <v>814</v>
      </c>
      <c r="V153" t="s">
        <v>855</v>
      </c>
      <c r="X153" s="10" t="s">
        <v>326</v>
      </c>
      <c r="Z153">
        <v>129</v>
      </c>
      <c r="AA153" t="s">
        <v>580</v>
      </c>
      <c r="AB153">
        <v>4</v>
      </c>
      <c r="AC153" s="35">
        <v>6.5000000000000002E-2</v>
      </c>
      <c r="AD153" s="36">
        <f t="shared" si="4"/>
        <v>0.26</v>
      </c>
      <c r="AF153">
        <v>172</v>
      </c>
      <c r="AG153" t="s">
        <v>521</v>
      </c>
      <c r="AH153">
        <v>3</v>
      </c>
      <c r="AI153" s="35">
        <v>1.8E-3</v>
      </c>
      <c r="AK153">
        <v>90</v>
      </c>
      <c r="AL153" t="s">
        <v>888</v>
      </c>
      <c r="AM153">
        <v>1</v>
      </c>
      <c r="AN153" t="s">
        <v>1554</v>
      </c>
    </row>
    <row r="154" spans="1:40" x14ac:dyDescent="0.25">
      <c r="A154">
        <v>9</v>
      </c>
      <c r="B154">
        <v>9</v>
      </c>
      <c r="C154" t="s">
        <v>397</v>
      </c>
      <c r="D154" s="1">
        <f t="shared" si="10"/>
        <v>530</v>
      </c>
      <c r="E154" s="2">
        <v>85</v>
      </c>
      <c r="F154" s="3">
        <v>110</v>
      </c>
      <c r="G154" s="4">
        <v>105</v>
      </c>
      <c r="H154" s="5">
        <v>65</v>
      </c>
      <c r="I154" s="4">
        <v>85</v>
      </c>
      <c r="J154" s="6">
        <v>80</v>
      </c>
      <c r="K154">
        <v>530</v>
      </c>
      <c r="L154" t="s">
        <v>592</v>
      </c>
      <c r="M154" t="s">
        <v>673</v>
      </c>
      <c r="N154" s="19" t="s">
        <v>1112</v>
      </c>
      <c r="O154" s="16" t="s">
        <v>731</v>
      </c>
      <c r="P154" s="10">
        <v>9</v>
      </c>
      <c r="Q154" t="str">
        <f t="shared" si="11"/>
        <v>Dragave</v>
      </c>
      <c r="T154">
        <v>10</v>
      </c>
      <c r="U154" t="s">
        <v>815</v>
      </c>
      <c r="V154" t="s">
        <v>855</v>
      </c>
      <c r="X154" s="10" t="s">
        <v>327</v>
      </c>
      <c r="Z154">
        <v>85</v>
      </c>
      <c r="AA154" t="s">
        <v>461</v>
      </c>
      <c r="AB154">
        <v>3</v>
      </c>
      <c r="AC154" s="35">
        <v>0.09</v>
      </c>
      <c r="AD154" s="36">
        <f t="shared" si="4"/>
        <v>0.27</v>
      </c>
      <c r="AF154">
        <v>177</v>
      </c>
      <c r="AG154" t="s">
        <v>523</v>
      </c>
      <c r="AH154">
        <v>3</v>
      </c>
      <c r="AI154" s="35">
        <v>1.8E-3</v>
      </c>
      <c r="AK154">
        <v>91</v>
      </c>
      <c r="AL154" t="s">
        <v>887</v>
      </c>
      <c r="AM154">
        <v>1</v>
      </c>
    </row>
    <row r="155" spans="1:40" x14ac:dyDescent="0.25">
      <c r="A155">
        <v>13</v>
      </c>
      <c r="B155">
        <v>10</v>
      </c>
      <c r="C155" t="s">
        <v>398</v>
      </c>
      <c r="D155" s="1">
        <f t="shared" si="10"/>
        <v>295</v>
      </c>
      <c r="E155" s="2">
        <v>35</v>
      </c>
      <c r="F155" s="3">
        <v>35</v>
      </c>
      <c r="G155" s="4">
        <v>35</v>
      </c>
      <c r="H155" s="5">
        <v>55</v>
      </c>
      <c r="I155" s="4">
        <v>55</v>
      </c>
      <c r="J155" s="6">
        <v>80</v>
      </c>
      <c r="K155">
        <v>295</v>
      </c>
      <c r="L155" t="s">
        <v>593</v>
      </c>
      <c r="M155" t="s">
        <v>594</v>
      </c>
      <c r="N155" s="19" t="s">
        <v>1092</v>
      </c>
      <c r="O155" t="s">
        <v>732</v>
      </c>
      <c r="P155">
        <v>10</v>
      </c>
      <c r="Q155" t="str">
        <f t="shared" si="11"/>
        <v>Hummingspark</v>
      </c>
      <c r="R155">
        <v>18</v>
      </c>
      <c r="T155">
        <v>11</v>
      </c>
      <c r="U155" t="s">
        <v>816</v>
      </c>
      <c r="V155" t="s">
        <v>855</v>
      </c>
      <c r="X155" s="10" t="s">
        <v>328</v>
      </c>
      <c r="Z155">
        <v>181</v>
      </c>
      <c r="AA155" t="s">
        <v>92</v>
      </c>
      <c r="AB155">
        <v>2</v>
      </c>
      <c r="AC155" s="35">
        <v>0.13500000000000001</v>
      </c>
      <c r="AD155" s="36">
        <f t="shared" si="4"/>
        <v>0.27</v>
      </c>
      <c r="AF155">
        <v>188</v>
      </c>
      <c r="AG155" t="s">
        <v>96</v>
      </c>
      <c r="AH155">
        <v>3</v>
      </c>
      <c r="AI155" s="35">
        <v>1.8E-3</v>
      </c>
      <c r="AK155">
        <v>92</v>
      </c>
      <c r="AL155" t="s">
        <v>1630</v>
      </c>
      <c r="AM155">
        <v>1</v>
      </c>
    </row>
    <row r="156" spans="1:40" x14ac:dyDescent="0.25">
      <c r="A156">
        <v>14</v>
      </c>
      <c r="B156">
        <v>11</v>
      </c>
      <c r="C156" t="s">
        <v>399</v>
      </c>
      <c r="D156" s="1">
        <f t="shared" si="10"/>
        <v>380</v>
      </c>
      <c r="E156" s="2">
        <v>50</v>
      </c>
      <c r="F156" s="3">
        <v>40</v>
      </c>
      <c r="G156" s="4">
        <v>45</v>
      </c>
      <c r="H156" s="5">
        <v>75</v>
      </c>
      <c r="I156" s="4">
        <v>70</v>
      </c>
      <c r="J156" s="6">
        <v>100</v>
      </c>
      <c r="K156">
        <v>380</v>
      </c>
      <c r="L156" t="s">
        <v>595</v>
      </c>
      <c r="M156" t="s">
        <v>594</v>
      </c>
      <c r="N156" s="19" t="s">
        <v>1092</v>
      </c>
      <c r="O156" s="11" t="s">
        <v>715</v>
      </c>
      <c r="P156">
        <v>11</v>
      </c>
      <c r="Q156" t="str">
        <f t="shared" si="11"/>
        <v>Flashclaw</v>
      </c>
      <c r="R156">
        <v>36</v>
      </c>
      <c r="T156">
        <v>12</v>
      </c>
      <c r="U156" t="s">
        <v>817</v>
      </c>
      <c r="V156" t="s">
        <v>855</v>
      </c>
      <c r="X156" s="10" t="s">
        <v>329</v>
      </c>
      <c r="Z156">
        <v>197</v>
      </c>
      <c r="AA156" t="s">
        <v>533</v>
      </c>
      <c r="AB156">
        <v>2</v>
      </c>
      <c r="AC156" s="35">
        <v>0.13500000000000001</v>
      </c>
      <c r="AD156" s="36">
        <f t="shared" si="4"/>
        <v>0.27</v>
      </c>
      <c r="AF156">
        <v>191</v>
      </c>
      <c r="AG156" t="s">
        <v>528</v>
      </c>
      <c r="AH156">
        <v>3</v>
      </c>
      <c r="AI156" s="35">
        <v>1.8E-3</v>
      </c>
      <c r="AK156">
        <v>95</v>
      </c>
      <c r="AL156" t="s">
        <v>883</v>
      </c>
      <c r="AM156">
        <v>1</v>
      </c>
    </row>
    <row r="157" spans="1:40" x14ac:dyDescent="0.25">
      <c r="A157">
        <v>15</v>
      </c>
      <c r="B157">
        <v>12</v>
      </c>
      <c r="C157" t="s">
        <v>400</v>
      </c>
      <c r="D157" s="1">
        <f t="shared" si="10"/>
        <v>500</v>
      </c>
      <c r="E157" s="2">
        <v>70</v>
      </c>
      <c r="F157" s="3">
        <v>40</v>
      </c>
      <c r="G157" s="4">
        <v>60</v>
      </c>
      <c r="H157" s="5">
        <v>100</v>
      </c>
      <c r="I157" s="4">
        <v>100</v>
      </c>
      <c r="J157" s="6">
        <v>130</v>
      </c>
      <c r="K157">
        <v>500</v>
      </c>
      <c r="L157" t="s">
        <v>595</v>
      </c>
      <c r="M157" t="s">
        <v>594</v>
      </c>
      <c r="N157" s="19" t="s">
        <v>1092</v>
      </c>
      <c r="O157" s="10" t="s">
        <v>682</v>
      </c>
      <c r="P157" s="10">
        <v>12</v>
      </c>
      <c r="Q157" t="str">
        <f t="shared" si="11"/>
        <v>Magestiflash</v>
      </c>
      <c r="T157">
        <v>13</v>
      </c>
      <c r="U157" t="s">
        <v>818</v>
      </c>
      <c r="V157" t="s">
        <v>856</v>
      </c>
      <c r="W157" t="s">
        <v>1186</v>
      </c>
      <c r="X157" s="10" t="s">
        <v>330</v>
      </c>
      <c r="Z157">
        <v>269</v>
      </c>
      <c r="AA157" t="s">
        <v>1154</v>
      </c>
      <c r="AB157">
        <v>3</v>
      </c>
      <c r="AC157" s="35">
        <v>9.3299999999999994E-2</v>
      </c>
      <c r="AD157" s="36">
        <f t="shared" si="4"/>
        <v>0.27989999999999998</v>
      </c>
      <c r="AF157">
        <v>215</v>
      </c>
      <c r="AG157" t="s">
        <v>551</v>
      </c>
      <c r="AH157">
        <v>3</v>
      </c>
      <c r="AI157" s="35">
        <v>1.8E-3</v>
      </c>
      <c r="AK157">
        <v>96</v>
      </c>
      <c r="AL157" t="s">
        <v>884</v>
      </c>
      <c r="AM157">
        <v>1</v>
      </c>
    </row>
    <row r="158" spans="1:40" x14ac:dyDescent="0.25">
      <c r="A158">
        <v>10</v>
      </c>
      <c r="B158">
        <v>13</v>
      </c>
      <c r="C158" t="s">
        <v>401</v>
      </c>
      <c r="D158" s="1">
        <f t="shared" si="10"/>
        <v>276</v>
      </c>
      <c r="E158" s="2">
        <v>56</v>
      </c>
      <c r="F158" s="3">
        <v>61</v>
      </c>
      <c r="G158" s="4">
        <v>65</v>
      </c>
      <c r="H158" s="5">
        <v>20</v>
      </c>
      <c r="I158" s="4">
        <v>29</v>
      </c>
      <c r="J158" s="6">
        <v>45</v>
      </c>
      <c r="K158">
        <v>276</v>
      </c>
      <c r="L158" t="s">
        <v>678</v>
      </c>
      <c r="M158" t="s">
        <v>594</v>
      </c>
      <c r="N158" s="19" t="s">
        <v>1148</v>
      </c>
      <c r="O158" s="10" t="s">
        <v>683</v>
      </c>
      <c r="P158" s="10">
        <v>13</v>
      </c>
      <c r="Q158" t="str">
        <f t="shared" si="11"/>
        <v>Pigo</v>
      </c>
      <c r="R158">
        <v>17</v>
      </c>
      <c r="T158">
        <v>14</v>
      </c>
      <c r="U158" t="s">
        <v>819</v>
      </c>
      <c r="V158" t="s">
        <v>855</v>
      </c>
      <c r="X158" s="10" t="s">
        <v>331</v>
      </c>
      <c r="Z158">
        <v>248</v>
      </c>
      <c r="AA158" t="s">
        <v>1127</v>
      </c>
      <c r="AB158">
        <v>7</v>
      </c>
      <c r="AC158" s="35">
        <v>0.04</v>
      </c>
      <c r="AD158" s="36">
        <f t="shared" ref="AD158:AD221" si="12">AC158*AB158</f>
        <v>0.28000000000000003</v>
      </c>
      <c r="AF158">
        <v>218</v>
      </c>
      <c r="AG158" t="s">
        <v>554</v>
      </c>
      <c r="AH158">
        <v>3</v>
      </c>
      <c r="AI158" s="35">
        <v>1.8E-3</v>
      </c>
      <c r="AK158">
        <v>97</v>
      </c>
      <c r="AL158" t="s">
        <v>885</v>
      </c>
      <c r="AM158">
        <v>1</v>
      </c>
    </row>
    <row r="159" spans="1:40" x14ac:dyDescent="0.25">
      <c r="A159">
        <v>11</v>
      </c>
      <c r="B159">
        <v>14</v>
      </c>
      <c r="C159" t="s">
        <v>402</v>
      </c>
      <c r="D159" s="1">
        <f t="shared" si="10"/>
        <v>401</v>
      </c>
      <c r="E159" s="2">
        <v>66</v>
      </c>
      <c r="F159" s="3">
        <v>76</v>
      </c>
      <c r="G159" s="4">
        <v>86</v>
      </c>
      <c r="H159" s="5">
        <v>35</v>
      </c>
      <c r="I159" s="4">
        <v>60</v>
      </c>
      <c r="J159" s="6">
        <v>78</v>
      </c>
      <c r="K159">
        <v>401</v>
      </c>
      <c r="L159" t="s">
        <v>678</v>
      </c>
      <c r="M159" t="s">
        <v>594</v>
      </c>
      <c r="N159" s="19" t="s">
        <v>1148</v>
      </c>
      <c r="O159" s="16" t="s">
        <v>733</v>
      </c>
      <c r="P159" s="10">
        <v>14</v>
      </c>
      <c r="Q159" t="str">
        <f t="shared" si="11"/>
        <v>Pigonat</v>
      </c>
      <c r="R159">
        <v>32</v>
      </c>
      <c r="T159">
        <v>15</v>
      </c>
      <c r="U159" t="s">
        <v>821</v>
      </c>
      <c r="V159" t="s">
        <v>857</v>
      </c>
      <c r="X159" t="s">
        <v>332</v>
      </c>
      <c r="Z159">
        <v>166</v>
      </c>
      <c r="AA159" t="s">
        <v>68</v>
      </c>
      <c r="AB159">
        <v>4</v>
      </c>
      <c r="AC159" s="35">
        <v>7.0000000000000007E-2</v>
      </c>
      <c r="AD159" s="36">
        <f t="shared" si="12"/>
        <v>0.28000000000000003</v>
      </c>
      <c r="AF159">
        <v>226</v>
      </c>
      <c r="AG159" t="s">
        <v>561</v>
      </c>
      <c r="AH159">
        <v>3</v>
      </c>
      <c r="AI159" s="35">
        <v>1.8E-3</v>
      </c>
      <c r="AK159">
        <v>98</v>
      </c>
      <c r="AL159" t="s">
        <v>886</v>
      </c>
      <c r="AM159">
        <v>1</v>
      </c>
    </row>
    <row r="160" spans="1:40" x14ac:dyDescent="0.25">
      <c r="A160">
        <v>12</v>
      </c>
      <c r="B160">
        <v>15</v>
      </c>
      <c r="C160" t="s">
        <v>403</v>
      </c>
      <c r="D160" s="1">
        <f t="shared" si="10"/>
        <v>495</v>
      </c>
      <c r="E160" s="2">
        <v>73</v>
      </c>
      <c r="F160" s="3">
        <v>85</v>
      </c>
      <c r="G160" s="4">
        <v>110</v>
      </c>
      <c r="H160" s="5">
        <v>56</v>
      </c>
      <c r="I160" s="4">
        <v>90</v>
      </c>
      <c r="J160" s="6">
        <v>81</v>
      </c>
      <c r="K160">
        <v>495</v>
      </c>
      <c r="L160" t="s">
        <v>864</v>
      </c>
      <c r="M160" t="s">
        <v>650</v>
      </c>
      <c r="N160" s="19" t="s">
        <v>661</v>
      </c>
      <c r="O160" s="10" t="s">
        <v>684</v>
      </c>
      <c r="P160" s="10">
        <v>15</v>
      </c>
      <c r="Q160" t="str">
        <f t="shared" si="11"/>
        <v>Pigoga</v>
      </c>
      <c r="T160">
        <v>16</v>
      </c>
      <c r="U160" t="s">
        <v>822</v>
      </c>
      <c r="V160" t="s">
        <v>855</v>
      </c>
      <c r="X160" t="s">
        <v>333</v>
      </c>
      <c r="Z160">
        <v>167</v>
      </c>
      <c r="AA160" t="s">
        <v>69</v>
      </c>
      <c r="AB160">
        <v>2</v>
      </c>
      <c r="AC160" s="35">
        <v>0.14000000000000001</v>
      </c>
      <c r="AD160" s="36">
        <f t="shared" si="12"/>
        <v>0.28000000000000003</v>
      </c>
      <c r="AF160">
        <v>229</v>
      </c>
      <c r="AG160" t="s">
        <v>1646</v>
      </c>
      <c r="AH160">
        <v>3</v>
      </c>
      <c r="AI160" s="35">
        <v>1.8E-3</v>
      </c>
      <c r="AK160">
        <v>99</v>
      </c>
      <c r="AL160" t="s">
        <v>875</v>
      </c>
      <c r="AM160">
        <v>1</v>
      </c>
    </row>
    <row r="161" spans="1:40" x14ac:dyDescent="0.25">
      <c r="A161">
        <v>16</v>
      </c>
      <c r="B161">
        <v>16</v>
      </c>
      <c r="C161" t="s">
        <v>15</v>
      </c>
      <c r="D161" s="1">
        <f t="shared" si="10"/>
        <v>350</v>
      </c>
      <c r="E161" s="2">
        <v>99</v>
      </c>
      <c r="F161" s="3">
        <v>61</v>
      </c>
      <c r="G161" s="4">
        <v>51</v>
      </c>
      <c r="H161" s="5">
        <v>40</v>
      </c>
      <c r="I161" s="4">
        <v>79</v>
      </c>
      <c r="J161" s="6">
        <v>20</v>
      </c>
      <c r="K161">
        <v>350</v>
      </c>
      <c r="L161" t="s">
        <v>596</v>
      </c>
      <c r="M161" t="s">
        <v>597</v>
      </c>
      <c r="N161" s="19" t="s">
        <v>654</v>
      </c>
      <c r="O161" s="10" t="s">
        <v>685</v>
      </c>
      <c r="P161" s="10">
        <v>16</v>
      </c>
      <c r="Q161" t="str">
        <f t="shared" si="11"/>
        <v>Hammo</v>
      </c>
      <c r="R161" t="s">
        <v>783</v>
      </c>
      <c r="T161">
        <v>17</v>
      </c>
      <c r="U161" t="s">
        <v>820</v>
      </c>
      <c r="V161" t="s">
        <v>855</v>
      </c>
      <c r="X161" t="s">
        <v>192</v>
      </c>
      <c r="Z161">
        <v>182</v>
      </c>
      <c r="AA161" t="s">
        <v>93</v>
      </c>
      <c r="AB161">
        <v>2</v>
      </c>
      <c r="AC161" s="35">
        <v>0.14000000000000001</v>
      </c>
      <c r="AD161" s="36">
        <f t="shared" si="12"/>
        <v>0.28000000000000003</v>
      </c>
      <c r="AF161">
        <v>241</v>
      </c>
      <c r="AG161" t="s">
        <v>1117</v>
      </c>
      <c r="AH161">
        <v>3</v>
      </c>
      <c r="AI161" s="35">
        <v>1.8E-3</v>
      </c>
      <c r="AK161">
        <v>100</v>
      </c>
      <c r="AL161" t="s">
        <v>877</v>
      </c>
      <c r="AM161">
        <v>1</v>
      </c>
    </row>
    <row r="162" spans="1:40" x14ac:dyDescent="0.25">
      <c r="A162">
        <v>17</v>
      </c>
      <c r="B162">
        <v>17</v>
      </c>
      <c r="C162" t="s">
        <v>16</v>
      </c>
      <c r="D162" s="1">
        <f t="shared" si="10"/>
        <v>490</v>
      </c>
      <c r="E162" s="2">
        <v>150</v>
      </c>
      <c r="F162" s="3">
        <v>79</v>
      </c>
      <c r="G162" s="4">
        <v>75</v>
      </c>
      <c r="H162" s="5">
        <v>43</v>
      </c>
      <c r="I162" s="4">
        <v>108</v>
      </c>
      <c r="J162" s="6">
        <v>35</v>
      </c>
      <c r="K162">
        <v>490</v>
      </c>
      <c r="L162" t="s">
        <v>596</v>
      </c>
      <c r="M162" t="s">
        <v>597</v>
      </c>
      <c r="N162" s="19" t="s">
        <v>654</v>
      </c>
      <c r="O162" s="16" t="s">
        <v>722</v>
      </c>
      <c r="P162" s="10">
        <v>17</v>
      </c>
      <c r="Q162" t="str">
        <f t="shared" si="11"/>
        <v>HammyBoy</v>
      </c>
      <c r="R162" t="s">
        <v>785</v>
      </c>
      <c r="T162">
        <v>18</v>
      </c>
      <c r="U162" t="s">
        <v>823</v>
      </c>
      <c r="V162" t="s">
        <v>855</v>
      </c>
      <c r="X162" t="s">
        <v>334</v>
      </c>
      <c r="Z162">
        <v>27</v>
      </c>
      <c r="AA162" t="s">
        <v>1587</v>
      </c>
      <c r="AB162">
        <v>6</v>
      </c>
      <c r="AC162" s="35">
        <v>4.8300000000000003E-2</v>
      </c>
      <c r="AD162" s="36">
        <f t="shared" si="12"/>
        <v>0.2898</v>
      </c>
      <c r="AF162">
        <v>244</v>
      </c>
      <c r="AG162" t="s">
        <v>1122</v>
      </c>
      <c r="AH162">
        <v>3</v>
      </c>
      <c r="AI162" s="35">
        <v>1.8E-3</v>
      </c>
      <c r="AK162">
        <v>101</v>
      </c>
      <c r="AL162" t="s">
        <v>889</v>
      </c>
      <c r="AM162">
        <v>1</v>
      </c>
    </row>
    <row r="163" spans="1:40" x14ac:dyDescent="0.25">
      <c r="A163">
        <v>18</v>
      </c>
      <c r="B163">
        <v>18</v>
      </c>
      <c r="C163" t="s">
        <v>404</v>
      </c>
      <c r="D163" s="1">
        <f t="shared" si="10"/>
        <v>535</v>
      </c>
      <c r="E163" s="2">
        <v>150</v>
      </c>
      <c r="F163" s="3">
        <v>105</v>
      </c>
      <c r="G163" s="4">
        <v>110</v>
      </c>
      <c r="H163" s="5">
        <v>40</v>
      </c>
      <c r="I163" s="4">
        <v>85</v>
      </c>
      <c r="J163" s="6">
        <v>45</v>
      </c>
      <c r="K163">
        <v>535</v>
      </c>
      <c r="L163" t="s">
        <v>598</v>
      </c>
      <c r="M163" t="s">
        <v>627</v>
      </c>
      <c r="N163" s="19" t="s">
        <v>642</v>
      </c>
      <c r="O163" t="s">
        <v>734</v>
      </c>
      <c r="P163">
        <v>18</v>
      </c>
      <c r="Q163" t="str">
        <f t="shared" si="11"/>
        <v>Hamthorno</v>
      </c>
      <c r="T163">
        <v>19</v>
      </c>
      <c r="U163" t="s">
        <v>824</v>
      </c>
      <c r="V163" t="s">
        <v>855</v>
      </c>
      <c r="X163" s="10" t="s">
        <v>335</v>
      </c>
      <c r="Y163" t="s">
        <v>581</v>
      </c>
      <c r="Z163">
        <v>114</v>
      </c>
      <c r="AA163" t="s">
        <v>484</v>
      </c>
      <c r="AB163">
        <v>4</v>
      </c>
      <c r="AC163" s="35">
        <v>7.2499999999999995E-2</v>
      </c>
      <c r="AD163" s="36">
        <f t="shared" si="12"/>
        <v>0.28999999999999998</v>
      </c>
      <c r="AF163">
        <v>247</v>
      </c>
      <c r="AG163" t="s">
        <v>1125</v>
      </c>
      <c r="AH163">
        <v>3</v>
      </c>
      <c r="AI163" s="35">
        <v>1.8E-3</v>
      </c>
      <c r="AK163">
        <v>102</v>
      </c>
      <c r="AL163" t="s">
        <v>1467</v>
      </c>
      <c r="AM163">
        <v>1</v>
      </c>
      <c r="AN163" t="s">
        <v>1554</v>
      </c>
    </row>
    <row r="164" spans="1:40" x14ac:dyDescent="0.25">
      <c r="A164">
        <v>41</v>
      </c>
      <c r="B164">
        <v>19</v>
      </c>
      <c r="C164" t="s">
        <v>405</v>
      </c>
      <c r="D164" s="1">
        <f t="shared" si="10"/>
        <v>330</v>
      </c>
      <c r="E164" s="2">
        <v>55</v>
      </c>
      <c r="F164" s="3">
        <v>55</v>
      </c>
      <c r="G164" s="4">
        <v>55</v>
      </c>
      <c r="H164" s="5">
        <v>55</v>
      </c>
      <c r="I164" s="4">
        <v>55</v>
      </c>
      <c r="J164" s="6">
        <v>55</v>
      </c>
      <c r="K164">
        <v>330</v>
      </c>
      <c r="L164" t="s">
        <v>599</v>
      </c>
      <c r="M164" t="s">
        <v>601</v>
      </c>
      <c r="N164" s="19" t="s">
        <v>1119</v>
      </c>
      <c r="O164" s="16" t="s">
        <v>780</v>
      </c>
      <c r="P164" s="10">
        <v>19</v>
      </c>
      <c r="Q164" t="str">
        <f t="shared" si="11"/>
        <v>Sheabear</v>
      </c>
      <c r="R164">
        <v>20</v>
      </c>
      <c r="T164">
        <v>20</v>
      </c>
      <c r="U164" t="s">
        <v>825</v>
      </c>
      <c r="V164" t="s">
        <v>856</v>
      </c>
      <c r="W164" t="s">
        <v>1187</v>
      </c>
      <c r="X164" t="s">
        <v>336</v>
      </c>
      <c r="Z164">
        <v>14</v>
      </c>
      <c r="AA164" t="s">
        <v>1576</v>
      </c>
      <c r="AB164">
        <v>3</v>
      </c>
      <c r="AC164" s="35">
        <v>9.6699999999999994E-2</v>
      </c>
      <c r="AD164" s="36">
        <f t="shared" si="12"/>
        <v>0.29009999999999997</v>
      </c>
      <c r="AF164">
        <v>252</v>
      </c>
      <c r="AG164" t="s">
        <v>1130</v>
      </c>
      <c r="AH164">
        <v>3</v>
      </c>
      <c r="AI164" s="35">
        <v>1.8E-3</v>
      </c>
      <c r="AK164">
        <v>103</v>
      </c>
      <c r="AL164" t="s">
        <v>985</v>
      </c>
      <c r="AM164">
        <v>1</v>
      </c>
    </row>
    <row r="165" spans="1:40" x14ac:dyDescent="0.25">
      <c r="A165">
        <v>42</v>
      </c>
      <c r="B165">
        <v>20</v>
      </c>
      <c r="C165" t="s">
        <v>406</v>
      </c>
      <c r="D165" s="1">
        <f t="shared" si="10"/>
        <v>450</v>
      </c>
      <c r="E165" s="2">
        <v>75</v>
      </c>
      <c r="F165" s="3">
        <v>75</v>
      </c>
      <c r="G165" s="4">
        <v>75</v>
      </c>
      <c r="H165" s="5">
        <v>75</v>
      </c>
      <c r="I165" s="4">
        <v>75</v>
      </c>
      <c r="J165" s="6">
        <v>75</v>
      </c>
      <c r="K165">
        <v>450</v>
      </c>
      <c r="L165" t="s">
        <v>599</v>
      </c>
      <c r="M165" t="s">
        <v>643</v>
      </c>
      <c r="N165" s="19" t="s">
        <v>1119</v>
      </c>
      <c r="O165" s="16" t="s">
        <v>736</v>
      </c>
      <c r="P165" s="10">
        <v>20</v>
      </c>
      <c r="Q165" t="str">
        <f t="shared" si="11"/>
        <v>Dualbear</v>
      </c>
      <c r="R165">
        <v>40</v>
      </c>
      <c r="T165">
        <v>21</v>
      </c>
      <c r="U165" t="s">
        <v>826</v>
      </c>
      <c r="V165" t="s">
        <v>855</v>
      </c>
      <c r="X165" s="10" t="s">
        <v>337</v>
      </c>
      <c r="Z165">
        <v>29</v>
      </c>
      <c r="AA165" t="s">
        <v>413</v>
      </c>
      <c r="AB165">
        <v>3</v>
      </c>
      <c r="AC165" s="35">
        <v>9.6699999999999994E-2</v>
      </c>
      <c r="AD165" s="36">
        <f t="shared" si="12"/>
        <v>0.29009999999999997</v>
      </c>
      <c r="AF165">
        <v>254</v>
      </c>
      <c r="AG165" t="s">
        <v>1132</v>
      </c>
      <c r="AH165">
        <v>3</v>
      </c>
      <c r="AI165" s="35">
        <v>1.8E-3</v>
      </c>
      <c r="AK165">
        <v>104</v>
      </c>
      <c r="AL165" t="s">
        <v>1468</v>
      </c>
      <c r="AM165">
        <v>1</v>
      </c>
    </row>
    <row r="166" spans="1:40" x14ac:dyDescent="0.25">
      <c r="A166">
        <v>43</v>
      </c>
      <c r="B166">
        <v>21</v>
      </c>
      <c r="C166" t="s">
        <v>407</v>
      </c>
      <c r="D166" s="1">
        <f t="shared" si="10"/>
        <v>515</v>
      </c>
      <c r="E166" s="2">
        <v>80</v>
      </c>
      <c r="F166" s="3">
        <v>60</v>
      </c>
      <c r="G166" s="4">
        <v>75</v>
      </c>
      <c r="H166" s="5">
        <v>135</v>
      </c>
      <c r="I166" s="4">
        <v>85</v>
      </c>
      <c r="J166" s="6">
        <v>80</v>
      </c>
      <c r="K166">
        <v>515</v>
      </c>
      <c r="L166" t="s">
        <v>599</v>
      </c>
      <c r="M166" t="s">
        <v>607</v>
      </c>
      <c r="N166" s="19" t="s">
        <v>1119</v>
      </c>
      <c r="O166" s="31" t="s">
        <v>726</v>
      </c>
      <c r="P166">
        <v>21</v>
      </c>
      <c r="Q166" t="str">
        <f t="shared" si="11"/>
        <v>Spacebear</v>
      </c>
      <c r="T166">
        <v>22</v>
      </c>
      <c r="U166" t="s">
        <v>827</v>
      </c>
      <c r="V166" t="s">
        <v>855</v>
      </c>
      <c r="X166" t="s">
        <v>338</v>
      </c>
      <c r="Z166">
        <v>36</v>
      </c>
      <c r="AA166" t="s">
        <v>420</v>
      </c>
      <c r="AB166">
        <v>3</v>
      </c>
      <c r="AC166" s="35">
        <v>9.6699999999999994E-2</v>
      </c>
      <c r="AD166" s="36">
        <f t="shared" si="12"/>
        <v>0.29009999999999997</v>
      </c>
      <c r="AF166">
        <v>265</v>
      </c>
      <c r="AG166" t="s">
        <v>1150</v>
      </c>
      <c r="AH166">
        <v>3</v>
      </c>
      <c r="AI166" s="35">
        <v>1.8E-3</v>
      </c>
      <c r="AK166">
        <v>105</v>
      </c>
      <c r="AL166" t="s">
        <v>895</v>
      </c>
      <c r="AM166">
        <v>1</v>
      </c>
    </row>
    <row r="167" spans="1:40" x14ac:dyDescent="0.25">
      <c r="A167">
        <v>19</v>
      </c>
      <c r="B167">
        <v>22</v>
      </c>
      <c r="C167" t="s">
        <v>408</v>
      </c>
      <c r="D167" s="1">
        <f t="shared" si="10"/>
        <v>200</v>
      </c>
      <c r="E167" s="2">
        <v>33</v>
      </c>
      <c r="F167" s="3">
        <v>44</v>
      </c>
      <c r="G167" s="4">
        <v>33</v>
      </c>
      <c r="H167" s="5">
        <v>23</v>
      </c>
      <c r="I167" s="4">
        <v>29</v>
      </c>
      <c r="J167" s="6">
        <v>38</v>
      </c>
      <c r="K167">
        <v>200</v>
      </c>
      <c r="L167" t="s">
        <v>600</v>
      </c>
      <c r="M167" t="s">
        <v>651</v>
      </c>
      <c r="N167" s="19"/>
      <c r="O167" s="11" t="s">
        <v>721</v>
      </c>
      <c r="P167">
        <v>22</v>
      </c>
      <c r="Q167" t="str">
        <f t="shared" si="11"/>
        <v>Bealtle</v>
      </c>
      <c r="R167">
        <v>18</v>
      </c>
      <c r="T167">
        <v>23</v>
      </c>
      <c r="U167" t="s">
        <v>792</v>
      </c>
      <c r="V167" t="s">
        <v>857</v>
      </c>
      <c r="X167" s="10" t="s">
        <v>339</v>
      </c>
      <c r="Z167">
        <v>65</v>
      </c>
      <c r="AA167" t="s">
        <v>1608</v>
      </c>
      <c r="AB167">
        <v>8</v>
      </c>
      <c r="AC167" s="35">
        <v>3.7499999999999999E-2</v>
      </c>
      <c r="AD167" s="36">
        <f t="shared" si="12"/>
        <v>0.3</v>
      </c>
      <c r="AF167">
        <v>286</v>
      </c>
      <c r="AG167" t="s">
        <v>1201</v>
      </c>
      <c r="AH167">
        <v>3</v>
      </c>
      <c r="AI167" s="35">
        <v>1.8E-3</v>
      </c>
      <c r="AK167">
        <v>107</v>
      </c>
      <c r="AL167" t="s">
        <v>903</v>
      </c>
      <c r="AM167">
        <v>1</v>
      </c>
    </row>
    <row r="168" spans="1:40" x14ac:dyDescent="0.25">
      <c r="A168">
        <v>20</v>
      </c>
      <c r="B168">
        <v>23</v>
      </c>
      <c r="C168" t="s">
        <v>409</v>
      </c>
      <c r="D168" s="1">
        <f t="shared" si="10"/>
        <v>375</v>
      </c>
      <c r="E168" s="2">
        <v>55</v>
      </c>
      <c r="F168" s="3">
        <v>68</v>
      </c>
      <c r="G168" s="4">
        <v>70</v>
      </c>
      <c r="H168" s="5">
        <v>41</v>
      </c>
      <c r="I168" s="4">
        <v>61</v>
      </c>
      <c r="J168" s="6">
        <v>80</v>
      </c>
      <c r="K168">
        <v>375</v>
      </c>
      <c r="L168" t="s">
        <v>600</v>
      </c>
      <c r="M168" t="s">
        <v>651</v>
      </c>
      <c r="N168" s="19"/>
      <c r="O168" s="10" t="s">
        <v>686</v>
      </c>
      <c r="P168" s="10">
        <v>23</v>
      </c>
      <c r="Q168" t="str">
        <f t="shared" si="11"/>
        <v>Centatle</v>
      </c>
      <c r="R168">
        <v>32</v>
      </c>
      <c r="T168">
        <v>24</v>
      </c>
      <c r="U168" t="s">
        <v>828</v>
      </c>
      <c r="V168" t="s">
        <v>857</v>
      </c>
      <c r="X168" s="10" t="s">
        <v>340</v>
      </c>
      <c r="Z168">
        <v>174</v>
      </c>
      <c r="AA168" t="s">
        <v>569</v>
      </c>
      <c r="AB168">
        <v>4</v>
      </c>
      <c r="AC168" s="35">
        <v>7.4999999999999997E-2</v>
      </c>
      <c r="AD168" s="36">
        <f t="shared" si="12"/>
        <v>0.3</v>
      </c>
      <c r="AF168">
        <v>295</v>
      </c>
      <c r="AG168" t="s">
        <v>1195</v>
      </c>
      <c r="AH168">
        <v>3</v>
      </c>
      <c r="AI168" s="35">
        <v>1.8E-3</v>
      </c>
      <c r="AK168">
        <v>108</v>
      </c>
      <c r="AL168" t="s">
        <v>1633</v>
      </c>
      <c r="AM168">
        <v>1</v>
      </c>
      <c r="AN168" t="s">
        <v>1554</v>
      </c>
    </row>
    <row r="169" spans="1:40" x14ac:dyDescent="0.25">
      <c r="A169">
        <v>21</v>
      </c>
      <c r="B169">
        <v>24</v>
      </c>
      <c r="C169" s="10" t="s">
        <v>410</v>
      </c>
      <c r="D169" s="1">
        <f t="shared" si="10"/>
        <v>505</v>
      </c>
      <c r="E169" s="2">
        <v>80</v>
      </c>
      <c r="F169" s="3">
        <v>70</v>
      </c>
      <c r="G169" s="4">
        <v>80</v>
      </c>
      <c r="H169" s="5">
        <v>55</v>
      </c>
      <c r="I169" s="4">
        <v>120</v>
      </c>
      <c r="J169" s="6">
        <v>100</v>
      </c>
      <c r="K169">
        <v>505</v>
      </c>
      <c r="L169" t="s">
        <v>1099</v>
      </c>
      <c r="M169" t="s">
        <v>651</v>
      </c>
      <c r="N169" s="19" t="s">
        <v>1147</v>
      </c>
      <c r="O169" s="10" t="s">
        <v>687</v>
      </c>
      <c r="P169" s="10">
        <v>24</v>
      </c>
      <c r="Q169" t="str">
        <f t="shared" si="11"/>
        <v>Curlatoral</v>
      </c>
      <c r="T169">
        <v>25</v>
      </c>
      <c r="U169" t="s">
        <v>829</v>
      </c>
      <c r="V169" t="s">
        <v>857</v>
      </c>
      <c r="X169" s="10" t="s">
        <v>341</v>
      </c>
      <c r="Z169">
        <v>50</v>
      </c>
      <c r="AA169" t="s">
        <v>1595</v>
      </c>
      <c r="AB169">
        <v>6</v>
      </c>
      <c r="AC169" s="35">
        <v>0.05</v>
      </c>
      <c r="AD169" s="36">
        <f t="shared" si="12"/>
        <v>0.30000000000000004</v>
      </c>
      <c r="AF169">
        <v>14</v>
      </c>
      <c r="AG169" t="s">
        <v>1576</v>
      </c>
      <c r="AH169">
        <v>4</v>
      </c>
      <c r="AI169" s="35">
        <v>2.3999999999999998E-3</v>
      </c>
      <c r="AK169">
        <v>109</v>
      </c>
      <c r="AL169" t="s">
        <v>901</v>
      </c>
      <c r="AM169">
        <v>1</v>
      </c>
      <c r="AN169" t="s">
        <v>1554</v>
      </c>
    </row>
    <row r="170" spans="1:40" x14ac:dyDescent="0.25">
      <c r="A170">
        <v>22</v>
      </c>
      <c r="B170">
        <v>25</v>
      </c>
      <c r="C170" t="s">
        <v>411</v>
      </c>
      <c r="D170" s="1">
        <f t="shared" si="10"/>
        <v>505</v>
      </c>
      <c r="E170" s="2">
        <v>80</v>
      </c>
      <c r="F170" s="3">
        <v>120</v>
      </c>
      <c r="G170" s="4">
        <v>120</v>
      </c>
      <c r="H170" s="5">
        <v>35</v>
      </c>
      <c r="I170" s="4">
        <v>80</v>
      </c>
      <c r="J170" s="6">
        <v>70</v>
      </c>
      <c r="K170">
        <v>505</v>
      </c>
      <c r="L170" t="s">
        <v>598</v>
      </c>
      <c r="M170" t="s">
        <v>651</v>
      </c>
      <c r="N170" s="19" t="s">
        <v>1147</v>
      </c>
      <c r="O170" s="16" t="s">
        <v>735</v>
      </c>
      <c r="P170" s="10">
        <v>25</v>
      </c>
      <c r="Q170" t="str">
        <f t="shared" si="11"/>
        <v>Millistone</v>
      </c>
      <c r="R170" t="s">
        <v>785</v>
      </c>
      <c r="T170">
        <v>26</v>
      </c>
      <c r="U170" t="s">
        <v>830</v>
      </c>
      <c r="V170" t="s">
        <v>855</v>
      </c>
      <c r="X170" s="10" t="s">
        <v>342</v>
      </c>
      <c r="Z170">
        <v>32</v>
      </c>
      <c r="AA170" t="s">
        <v>416</v>
      </c>
      <c r="AB170">
        <v>3</v>
      </c>
      <c r="AC170" s="35">
        <v>0.1</v>
      </c>
      <c r="AD170" s="36">
        <f t="shared" si="12"/>
        <v>0.30000000000000004</v>
      </c>
      <c r="AF170">
        <v>20</v>
      </c>
      <c r="AG170" t="s">
        <v>1581</v>
      </c>
      <c r="AH170">
        <v>4</v>
      </c>
      <c r="AI170" s="35">
        <v>2.3999999999999998E-3</v>
      </c>
      <c r="AK170">
        <v>110</v>
      </c>
      <c r="AL170" t="s">
        <v>1469</v>
      </c>
      <c r="AM170">
        <v>1</v>
      </c>
    </row>
    <row r="171" spans="1:40" x14ac:dyDescent="0.25">
      <c r="A171">
        <v>26</v>
      </c>
      <c r="B171">
        <v>26</v>
      </c>
      <c r="C171" t="s">
        <v>11</v>
      </c>
      <c r="D171" s="1">
        <f t="shared" si="10"/>
        <v>375</v>
      </c>
      <c r="E171" s="2">
        <v>65</v>
      </c>
      <c r="F171" s="3">
        <v>90</v>
      </c>
      <c r="G171" s="4">
        <v>85</v>
      </c>
      <c r="H171" s="5">
        <v>50</v>
      </c>
      <c r="I171" s="4">
        <v>30</v>
      </c>
      <c r="J171" s="6">
        <v>55</v>
      </c>
      <c r="K171">
        <v>375</v>
      </c>
      <c r="L171" t="s">
        <v>601</v>
      </c>
      <c r="M171" t="s">
        <v>605</v>
      </c>
      <c r="N171" s="19"/>
      <c r="O171" s="16" t="s">
        <v>688</v>
      </c>
      <c r="P171" s="10">
        <v>26</v>
      </c>
      <c r="Q171" t="str">
        <f t="shared" si="11"/>
        <v>Sapwin</v>
      </c>
      <c r="R171">
        <v>28</v>
      </c>
      <c r="T171">
        <v>27</v>
      </c>
      <c r="U171" t="s">
        <v>831</v>
      </c>
      <c r="V171" t="s">
        <v>857</v>
      </c>
      <c r="X171" t="s">
        <v>343</v>
      </c>
      <c r="Z171">
        <v>97</v>
      </c>
      <c r="AA171" t="s">
        <v>473</v>
      </c>
      <c r="AB171">
        <v>3</v>
      </c>
      <c r="AC171" s="35">
        <v>0.1033</v>
      </c>
      <c r="AD171" s="36">
        <f t="shared" si="12"/>
        <v>0.30990000000000001</v>
      </c>
      <c r="AF171">
        <v>64</v>
      </c>
      <c r="AG171" t="s">
        <v>1607</v>
      </c>
      <c r="AH171">
        <v>4</v>
      </c>
      <c r="AI171" s="35">
        <v>2.3999999999999998E-3</v>
      </c>
      <c r="AK171">
        <v>111</v>
      </c>
      <c r="AL171" t="s">
        <v>1470</v>
      </c>
      <c r="AM171">
        <v>1</v>
      </c>
    </row>
    <row r="172" spans="1:40" x14ac:dyDescent="0.25">
      <c r="A172">
        <v>27</v>
      </c>
      <c r="B172">
        <v>27</v>
      </c>
      <c r="C172" s="10" t="s">
        <v>12</v>
      </c>
      <c r="D172" s="1">
        <f t="shared" si="10"/>
        <v>475</v>
      </c>
      <c r="E172" s="2">
        <v>100</v>
      </c>
      <c r="F172" s="3">
        <v>120</v>
      </c>
      <c r="G172" s="4">
        <v>110</v>
      </c>
      <c r="H172" s="5">
        <v>55</v>
      </c>
      <c r="I172" s="4">
        <v>35</v>
      </c>
      <c r="J172" s="6">
        <v>55</v>
      </c>
      <c r="K172">
        <v>475</v>
      </c>
      <c r="L172" t="s">
        <v>601</v>
      </c>
      <c r="M172" t="s">
        <v>605</v>
      </c>
      <c r="N172" s="19"/>
      <c r="O172" s="16" t="s">
        <v>747</v>
      </c>
      <c r="P172" s="56">
        <v>27</v>
      </c>
      <c r="Q172" t="str">
        <f t="shared" si="11"/>
        <v>Treewin</v>
      </c>
      <c r="R172" t="s">
        <v>787</v>
      </c>
      <c r="T172">
        <v>28</v>
      </c>
      <c r="U172" t="s">
        <v>832</v>
      </c>
      <c r="W172" t="s">
        <v>1185</v>
      </c>
      <c r="X172" s="10" t="s">
        <v>194</v>
      </c>
      <c r="Z172">
        <v>199</v>
      </c>
      <c r="AA172" t="s">
        <v>535</v>
      </c>
      <c r="AB172">
        <v>2</v>
      </c>
      <c r="AC172" s="35">
        <v>0.155</v>
      </c>
      <c r="AD172" s="36">
        <f t="shared" si="12"/>
        <v>0.31</v>
      </c>
      <c r="AF172">
        <v>69</v>
      </c>
      <c r="AG172" t="s">
        <v>445</v>
      </c>
      <c r="AH172">
        <v>4</v>
      </c>
      <c r="AI172" s="35">
        <v>2.3999999999999998E-3</v>
      </c>
      <c r="AK172">
        <v>112</v>
      </c>
      <c r="AL172" t="s">
        <v>896</v>
      </c>
      <c r="AM172">
        <v>1</v>
      </c>
    </row>
    <row r="173" spans="1:40" x14ac:dyDescent="0.25">
      <c r="A173">
        <v>28</v>
      </c>
      <c r="B173">
        <v>28</v>
      </c>
      <c r="C173" s="10" t="s">
        <v>412</v>
      </c>
      <c r="D173" s="1">
        <f t="shared" si="10"/>
        <v>560</v>
      </c>
      <c r="E173" s="2">
        <v>120</v>
      </c>
      <c r="F173" s="3">
        <v>75</v>
      </c>
      <c r="G173" s="4">
        <v>80</v>
      </c>
      <c r="H173" s="5">
        <v>115</v>
      </c>
      <c r="I173" s="4">
        <v>80</v>
      </c>
      <c r="J173" s="6">
        <v>90</v>
      </c>
      <c r="K173">
        <v>560</v>
      </c>
      <c r="L173" t="s">
        <v>782</v>
      </c>
      <c r="M173" t="s">
        <v>605</v>
      </c>
      <c r="N173" s="19"/>
      <c r="O173" s="16" t="s">
        <v>760</v>
      </c>
      <c r="P173" s="10">
        <v>28</v>
      </c>
      <c r="Q173" t="str">
        <f t="shared" si="11"/>
        <v>Winagrow</v>
      </c>
      <c r="T173">
        <v>29</v>
      </c>
      <c r="U173" t="s">
        <v>833</v>
      </c>
      <c r="X173" t="s">
        <v>344</v>
      </c>
      <c r="Z173">
        <v>155</v>
      </c>
      <c r="AA173" t="s">
        <v>513</v>
      </c>
      <c r="AB173">
        <v>8</v>
      </c>
      <c r="AC173" s="35">
        <v>3.8800000000000001E-2</v>
      </c>
      <c r="AD173" s="36">
        <f t="shared" si="12"/>
        <v>0.31040000000000001</v>
      </c>
      <c r="AF173">
        <v>78</v>
      </c>
      <c r="AG173" t="s">
        <v>1613</v>
      </c>
      <c r="AH173">
        <v>4</v>
      </c>
      <c r="AI173" s="35">
        <v>2.3999999999999998E-3</v>
      </c>
      <c r="AK173">
        <v>115</v>
      </c>
      <c r="AL173" t="s">
        <v>1011</v>
      </c>
      <c r="AM173">
        <v>1</v>
      </c>
    </row>
    <row r="174" spans="1:40" x14ac:dyDescent="0.25">
      <c r="A174">
        <v>29</v>
      </c>
      <c r="B174">
        <v>29</v>
      </c>
      <c r="C174" t="s">
        <v>413</v>
      </c>
      <c r="D174" s="1">
        <f t="shared" si="10"/>
        <v>280</v>
      </c>
      <c r="E174" s="2">
        <v>40</v>
      </c>
      <c r="F174" s="3">
        <v>30</v>
      </c>
      <c r="G174" s="4">
        <v>35</v>
      </c>
      <c r="H174" s="5">
        <v>50</v>
      </c>
      <c r="I174" s="4">
        <v>70</v>
      </c>
      <c r="J174" s="6">
        <v>55</v>
      </c>
      <c r="K174">
        <v>280</v>
      </c>
      <c r="L174" t="s">
        <v>603</v>
      </c>
      <c r="M174" t="s">
        <v>602</v>
      </c>
      <c r="N174" s="19" t="s">
        <v>1113</v>
      </c>
      <c r="O174" s="16" t="s">
        <v>761</v>
      </c>
      <c r="P174" s="10">
        <v>29</v>
      </c>
      <c r="Q174" t="str">
        <f t="shared" si="11"/>
        <v>Budew</v>
      </c>
      <c r="R174" t="s">
        <v>794</v>
      </c>
      <c r="T174">
        <v>30</v>
      </c>
      <c r="U174" t="s">
        <v>834</v>
      </c>
      <c r="X174" s="10" t="s">
        <v>345</v>
      </c>
      <c r="Z174">
        <v>262</v>
      </c>
      <c r="AA174" t="s">
        <v>1140</v>
      </c>
      <c r="AB174">
        <v>7</v>
      </c>
      <c r="AC174" s="35">
        <v>4.5699999999999998E-2</v>
      </c>
      <c r="AD174" s="36">
        <f t="shared" si="12"/>
        <v>0.31989999999999996</v>
      </c>
      <c r="AF174">
        <v>86</v>
      </c>
      <c r="AG174" t="s">
        <v>462</v>
      </c>
      <c r="AH174">
        <v>4</v>
      </c>
      <c r="AI174" s="35">
        <v>2.3999999999999998E-3</v>
      </c>
      <c r="AK174">
        <v>116</v>
      </c>
      <c r="AL174" t="s">
        <v>900</v>
      </c>
      <c r="AM174">
        <v>1</v>
      </c>
    </row>
    <row r="175" spans="1:40" x14ac:dyDescent="0.25">
      <c r="A175">
        <v>30</v>
      </c>
      <c r="B175">
        <v>30</v>
      </c>
      <c r="C175" t="s">
        <v>414</v>
      </c>
      <c r="D175" s="1">
        <f t="shared" si="10"/>
        <v>400</v>
      </c>
      <c r="E175" s="2">
        <v>50</v>
      </c>
      <c r="F175" s="3">
        <v>60</v>
      </c>
      <c r="G175" s="4">
        <v>45</v>
      </c>
      <c r="H175" s="5">
        <v>100</v>
      </c>
      <c r="I175" s="4">
        <v>80</v>
      </c>
      <c r="J175" s="6">
        <v>65</v>
      </c>
      <c r="K175">
        <v>400</v>
      </c>
      <c r="L175" t="s">
        <v>603</v>
      </c>
      <c r="M175" t="s">
        <v>602</v>
      </c>
      <c r="N175" s="19" t="s">
        <v>1113</v>
      </c>
      <c r="O175" s="16" t="s">
        <v>704</v>
      </c>
      <c r="P175" s="10">
        <v>30</v>
      </c>
      <c r="Q175" t="str">
        <f t="shared" si="11"/>
        <v>Roselia</v>
      </c>
      <c r="R175" t="s">
        <v>786</v>
      </c>
      <c r="T175">
        <v>31</v>
      </c>
      <c r="U175" t="s">
        <v>835</v>
      </c>
      <c r="X175" t="s">
        <v>346</v>
      </c>
      <c r="Z175">
        <v>189</v>
      </c>
      <c r="AA175" t="s">
        <v>97</v>
      </c>
      <c r="AB175">
        <v>10</v>
      </c>
      <c r="AC175" s="35">
        <v>3.2000000000000001E-2</v>
      </c>
      <c r="AD175" s="36">
        <f t="shared" si="12"/>
        <v>0.32</v>
      </c>
      <c r="AF175">
        <v>90</v>
      </c>
      <c r="AG175" t="s">
        <v>466</v>
      </c>
      <c r="AH175">
        <v>4</v>
      </c>
      <c r="AI175" s="35">
        <v>2.3999999999999998E-3</v>
      </c>
      <c r="AK175">
        <v>117</v>
      </c>
      <c r="AL175" t="s">
        <v>906</v>
      </c>
      <c r="AM175">
        <v>1</v>
      </c>
    </row>
    <row r="176" spans="1:40" x14ac:dyDescent="0.25">
      <c r="A176">
        <v>31</v>
      </c>
      <c r="B176">
        <v>31</v>
      </c>
      <c r="C176" t="s">
        <v>415</v>
      </c>
      <c r="D176" s="1">
        <f t="shared" si="10"/>
        <v>515</v>
      </c>
      <c r="E176" s="2">
        <v>60</v>
      </c>
      <c r="F176" s="3">
        <v>70</v>
      </c>
      <c r="G176" s="4">
        <v>65</v>
      </c>
      <c r="H176" s="5">
        <v>125</v>
      </c>
      <c r="I176" s="4">
        <v>105</v>
      </c>
      <c r="J176" s="6">
        <v>90</v>
      </c>
      <c r="K176">
        <v>515</v>
      </c>
      <c r="L176" t="s">
        <v>604</v>
      </c>
      <c r="M176" t="s">
        <v>602</v>
      </c>
      <c r="N176" s="19" t="s">
        <v>1113</v>
      </c>
      <c r="O176" s="16" t="s">
        <v>744</v>
      </c>
      <c r="P176" s="10">
        <v>31</v>
      </c>
      <c r="Q176" t="str">
        <f t="shared" si="11"/>
        <v>Roserade</v>
      </c>
      <c r="T176">
        <v>32</v>
      </c>
      <c r="U176" t="s">
        <v>836</v>
      </c>
      <c r="X176" s="10" t="s">
        <v>347</v>
      </c>
      <c r="Z176">
        <v>223</v>
      </c>
      <c r="AA176" t="s">
        <v>1625</v>
      </c>
      <c r="AB176">
        <v>2</v>
      </c>
      <c r="AC176" s="35">
        <v>0.16</v>
      </c>
      <c r="AD176" s="36">
        <f t="shared" si="12"/>
        <v>0.32</v>
      </c>
      <c r="AF176">
        <v>92</v>
      </c>
      <c r="AG176" t="s">
        <v>468</v>
      </c>
      <c r="AH176">
        <v>4</v>
      </c>
      <c r="AI176" s="35">
        <v>2.3999999999999998E-3</v>
      </c>
      <c r="AK176">
        <v>118</v>
      </c>
      <c r="AL176" t="s">
        <v>1472</v>
      </c>
      <c r="AM176">
        <v>1</v>
      </c>
    </row>
    <row r="177" spans="1:40" x14ac:dyDescent="0.25">
      <c r="A177">
        <v>32</v>
      </c>
      <c r="B177">
        <v>32</v>
      </c>
      <c r="C177" t="s">
        <v>416</v>
      </c>
      <c r="D177" s="1">
        <f t="shared" si="10"/>
        <v>310</v>
      </c>
      <c r="E177" s="2">
        <v>45</v>
      </c>
      <c r="F177" s="3">
        <v>53</v>
      </c>
      <c r="G177" s="4">
        <v>70</v>
      </c>
      <c r="H177" s="5">
        <v>40</v>
      </c>
      <c r="I177" s="4">
        <v>60</v>
      </c>
      <c r="J177" s="6">
        <v>42</v>
      </c>
      <c r="K177">
        <v>310</v>
      </c>
      <c r="L177" t="s">
        <v>600</v>
      </c>
      <c r="M177" t="s">
        <v>605</v>
      </c>
      <c r="N177" s="19"/>
      <c r="O177" s="16" t="s">
        <v>762</v>
      </c>
      <c r="P177" s="17">
        <v>32</v>
      </c>
      <c r="Q177" t="str">
        <f t="shared" si="11"/>
        <v>Sewaddle</v>
      </c>
      <c r="R177">
        <v>20</v>
      </c>
      <c r="T177">
        <v>33</v>
      </c>
      <c r="U177" t="s">
        <v>837</v>
      </c>
      <c r="X177" s="10" t="s">
        <v>348</v>
      </c>
      <c r="Z177">
        <v>163</v>
      </c>
      <c r="AA177" t="s">
        <v>515</v>
      </c>
      <c r="AB177">
        <v>3</v>
      </c>
      <c r="AC177" s="35">
        <v>0.1067</v>
      </c>
      <c r="AD177" s="36">
        <f t="shared" si="12"/>
        <v>0.3201</v>
      </c>
      <c r="AF177">
        <v>121</v>
      </c>
      <c r="AG177" t="s">
        <v>91</v>
      </c>
      <c r="AH177">
        <v>4</v>
      </c>
      <c r="AI177" s="35">
        <v>2.3999999999999998E-3</v>
      </c>
      <c r="AK177">
        <v>119</v>
      </c>
      <c r="AL177" t="s">
        <v>899</v>
      </c>
      <c r="AM177">
        <v>1</v>
      </c>
    </row>
    <row r="178" spans="1:40" x14ac:dyDescent="0.25">
      <c r="A178">
        <v>33</v>
      </c>
      <c r="B178">
        <v>33</v>
      </c>
      <c r="C178" t="s">
        <v>417</v>
      </c>
      <c r="D178" s="1">
        <f t="shared" si="10"/>
        <v>380</v>
      </c>
      <c r="E178" s="2">
        <v>55</v>
      </c>
      <c r="F178" s="3">
        <v>63</v>
      </c>
      <c r="G178" s="4">
        <v>90</v>
      </c>
      <c r="H178" s="5">
        <v>50</v>
      </c>
      <c r="I178" s="4">
        <v>80</v>
      </c>
      <c r="J178" s="6">
        <v>42</v>
      </c>
      <c r="K178">
        <v>380</v>
      </c>
      <c r="L178" t="s">
        <v>600</v>
      </c>
      <c r="M178" t="s">
        <v>605</v>
      </c>
      <c r="N178" s="19"/>
      <c r="O178" s="16" t="s">
        <v>767</v>
      </c>
      <c r="P178" s="17">
        <v>33</v>
      </c>
      <c r="Q178" t="str">
        <f t="shared" si="11"/>
        <v>Swadloon</v>
      </c>
      <c r="R178" t="s">
        <v>794</v>
      </c>
      <c r="T178">
        <v>34</v>
      </c>
      <c r="U178" t="s">
        <v>838</v>
      </c>
      <c r="X178" s="10" t="s">
        <v>349</v>
      </c>
      <c r="Z178">
        <v>268</v>
      </c>
      <c r="AA178" t="s">
        <v>1152</v>
      </c>
      <c r="AB178">
        <v>3</v>
      </c>
      <c r="AC178" s="35">
        <v>0.1067</v>
      </c>
      <c r="AD178" s="36">
        <f t="shared" si="12"/>
        <v>0.3201</v>
      </c>
      <c r="AF178">
        <v>123</v>
      </c>
      <c r="AG178" t="s">
        <v>490</v>
      </c>
      <c r="AH178">
        <v>4</v>
      </c>
      <c r="AI178" s="35">
        <v>2.3999999999999998E-3</v>
      </c>
      <c r="AK178">
        <v>120</v>
      </c>
      <c r="AL178" t="s">
        <v>1012</v>
      </c>
      <c r="AM178">
        <v>1</v>
      </c>
    </row>
    <row r="179" spans="1:40" x14ac:dyDescent="0.25">
      <c r="A179">
        <v>34</v>
      </c>
      <c r="B179">
        <v>34</v>
      </c>
      <c r="C179" t="s">
        <v>418</v>
      </c>
      <c r="D179" s="1">
        <f t="shared" si="10"/>
        <v>500</v>
      </c>
      <c r="E179" s="2">
        <v>75</v>
      </c>
      <c r="F179" s="3">
        <v>108</v>
      </c>
      <c r="G179" s="4">
        <v>80</v>
      </c>
      <c r="H179" s="5">
        <v>60</v>
      </c>
      <c r="I179" s="4">
        <v>80</v>
      </c>
      <c r="J179" s="6">
        <v>97</v>
      </c>
      <c r="K179">
        <v>500</v>
      </c>
      <c r="L179" t="s">
        <v>858</v>
      </c>
      <c r="M179" t="s">
        <v>605</v>
      </c>
      <c r="N179" s="19"/>
      <c r="O179" s="16" t="s">
        <v>771</v>
      </c>
      <c r="P179" s="17">
        <v>34</v>
      </c>
      <c r="Q179" t="str">
        <f t="shared" si="11"/>
        <v>Leavanny</v>
      </c>
      <c r="T179">
        <v>35</v>
      </c>
      <c r="U179" t="s">
        <v>839</v>
      </c>
      <c r="X179" s="10" t="s">
        <v>350</v>
      </c>
      <c r="Z179">
        <v>25</v>
      </c>
      <c r="AA179" t="s">
        <v>1586</v>
      </c>
      <c r="AB179">
        <v>8</v>
      </c>
      <c r="AC179" s="35">
        <v>4.1200000000000001E-2</v>
      </c>
      <c r="AD179" s="36">
        <f t="shared" si="12"/>
        <v>0.3296</v>
      </c>
      <c r="AF179">
        <v>126</v>
      </c>
      <c r="AG179" t="s">
        <v>491</v>
      </c>
      <c r="AH179">
        <v>4</v>
      </c>
      <c r="AI179" s="35">
        <v>2.3999999999999998E-3</v>
      </c>
      <c r="AK179">
        <v>121</v>
      </c>
      <c r="AL179" t="s">
        <v>881</v>
      </c>
      <c r="AM179">
        <v>1</v>
      </c>
    </row>
    <row r="180" spans="1:40" x14ac:dyDescent="0.25">
      <c r="A180">
        <v>122</v>
      </c>
      <c r="B180">
        <v>35</v>
      </c>
      <c r="C180" t="s">
        <v>419</v>
      </c>
      <c r="D180" s="1">
        <f t="shared" si="10"/>
        <v>300</v>
      </c>
      <c r="E180" s="2">
        <v>47</v>
      </c>
      <c r="F180" s="3">
        <v>62</v>
      </c>
      <c r="G180" s="4">
        <v>45</v>
      </c>
      <c r="H180" s="5">
        <v>55</v>
      </c>
      <c r="I180" s="4">
        <v>45</v>
      </c>
      <c r="J180" s="6">
        <v>46</v>
      </c>
      <c r="K180">
        <v>300</v>
      </c>
      <c r="L180" t="s">
        <v>600</v>
      </c>
      <c r="M180" t="s">
        <v>612</v>
      </c>
      <c r="N180" s="19"/>
      <c r="O180" s="16" t="s">
        <v>739</v>
      </c>
      <c r="P180" s="10">
        <v>35</v>
      </c>
      <c r="Q180" t="str">
        <f t="shared" si="11"/>
        <v>Grubbin</v>
      </c>
      <c r="R180">
        <v>20</v>
      </c>
      <c r="T180">
        <v>36</v>
      </c>
      <c r="U180" t="s">
        <v>840</v>
      </c>
      <c r="X180" s="10" t="s">
        <v>351</v>
      </c>
      <c r="Z180">
        <v>177</v>
      </c>
      <c r="AA180" t="s">
        <v>523</v>
      </c>
      <c r="AB180">
        <v>4</v>
      </c>
      <c r="AC180" s="35">
        <v>8.2500000000000004E-2</v>
      </c>
      <c r="AD180" s="36">
        <f t="shared" si="12"/>
        <v>0.33</v>
      </c>
      <c r="AF180">
        <v>130</v>
      </c>
      <c r="AG180" t="s">
        <v>581</v>
      </c>
      <c r="AH180">
        <v>4</v>
      </c>
      <c r="AI180" s="35">
        <v>2.3999999999999998E-3</v>
      </c>
      <c r="AK180">
        <v>122</v>
      </c>
      <c r="AL180" t="s">
        <v>882</v>
      </c>
      <c r="AM180">
        <v>1</v>
      </c>
    </row>
    <row r="181" spans="1:40" x14ac:dyDescent="0.25">
      <c r="A181">
        <v>123</v>
      </c>
      <c r="B181">
        <v>36</v>
      </c>
      <c r="C181" t="s">
        <v>420</v>
      </c>
      <c r="D181" s="1">
        <f t="shared" si="10"/>
        <v>400</v>
      </c>
      <c r="E181" s="2">
        <v>57</v>
      </c>
      <c r="F181" s="3">
        <v>82</v>
      </c>
      <c r="G181" s="4">
        <v>95</v>
      </c>
      <c r="H181" s="5">
        <v>55</v>
      </c>
      <c r="I181" s="4">
        <v>75</v>
      </c>
      <c r="J181" s="6">
        <v>36</v>
      </c>
      <c r="K181">
        <v>400</v>
      </c>
      <c r="L181" t="s">
        <v>606</v>
      </c>
      <c r="M181" t="s">
        <v>864</v>
      </c>
      <c r="N181" s="19"/>
      <c r="O181" s="16" t="s">
        <v>740</v>
      </c>
      <c r="P181" s="10">
        <v>36</v>
      </c>
      <c r="Q181" t="str">
        <f t="shared" si="11"/>
        <v>Charjabug</v>
      </c>
      <c r="R181" t="s">
        <v>784</v>
      </c>
      <c r="T181">
        <v>37</v>
      </c>
      <c r="U181" t="s">
        <v>841</v>
      </c>
      <c r="X181" t="s">
        <v>352</v>
      </c>
      <c r="Z181">
        <v>20</v>
      </c>
      <c r="AA181" t="s">
        <v>1581</v>
      </c>
      <c r="AB181">
        <v>3</v>
      </c>
      <c r="AC181" s="35">
        <v>0.11</v>
      </c>
      <c r="AD181" s="36">
        <f t="shared" si="12"/>
        <v>0.33</v>
      </c>
      <c r="AF181">
        <v>153</v>
      </c>
      <c r="AG181" t="s">
        <v>511</v>
      </c>
      <c r="AH181">
        <v>4</v>
      </c>
      <c r="AI181" s="35">
        <v>2.3999999999999998E-3</v>
      </c>
      <c r="AK181">
        <v>123</v>
      </c>
      <c r="AL181" t="s">
        <v>1357</v>
      </c>
      <c r="AM181">
        <v>1</v>
      </c>
    </row>
    <row r="182" spans="1:40" x14ac:dyDescent="0.25">
      <c r="A182">
        <v>124</v>
      </c>
      <c r="B182">
        <v>37</v>
      </c>
      <c r="C182" t="s">
        <v>421</v>
      </c>
      <c r="D182" s="1">
        <f t="shared" si="10"/>
        <v>512</v>
      </c>
      <c r="E182" s="2">
        <v>77</v>
      </c>
      <c r="F182" s="3">
        <v>65</v>
      </c>
      <c r="G182" s="4">
        <v>90</v>
      </c>
      <c r="H182" s="5">
        <v>110</v>
      </c>
      <c r="I182" s="4">
        <v>75</v>
      </c>
      <c r="J182" s="6">
        <v>95</v>
      </c>
      <c r="K182">
        <v>512</v>
      </c>
      <c r="L182" t="s">
        <v>607</v>
      </c>
      <c r="M182" t="s">
        <v>865</v>
      </c>
      <c r="N182" s="19"/>
      <c r="O182" s="16" t="s">
        <v>741</v>
      </c>
      <c r="P182" s="10">
        <v>37</v>
      </c>
      <c r="Q182" t="str">
        <f t="shared" si="11"/>
        <v>Vikavolt</v>
      </c>
      <c r="T182">
        <v>38</v>
      </c>
      <c r="U182" t="s">
        <v>842</v>
      </c>
      <c r="X182" s="10" t="s">
        <v>196</v>
      </c>
      <c r="Z182">
        <v>95</v>
      </c>
      <c r="AA182" t="s">
        <v>1619</v>
      </c>
      <c r="AB182">
        <v>3</v>
      </c>
      <c r="AC182" s="35">
        <v>0.11</v>
      </c>
      <c r="AD182" s="36">
        <f t="shared" si="12"/>
        <v>0.33</v>
      </c>
      <c r="AF182">
        <v>161</v>
      </c>
      <c r="AG182" t="s">
        <v>514</v>
      </c>
      <c r="AH182">
        <v>4</v>
      </c>
      <c r="AI182" s="35">
        <v>2.3999999999999998E-3</v>
      </c>
      <c r="AK182">
        <v>124</v>
      </c>
      <c r="AL182" t="s">
        <v>892</v>
      </c>
      <c r="AM182">
        <v>1</v>
      </c>
    </row>
    <row r="183" spans="1:40" x14ac:dyDescent="0.25">
      <c r="A183">
        <v>38</v>
      </c>
      <c r="B183">
        <v>38</v>
      </c>
      <c r="C183" t="s">
        <v>422</v>
      </c>
      <c r="D183" s="1">
        <f t="shared" si="10"/>
        <v>450</v>
      </c>
      <c r="E183" s="2">
        <v>60</v>
      </c>
      <c r="F183" s="3">
        <v>50</v>
      </c>
      <c r="G183" s="4">
        <v>100</v>
      </c>
      <c r="H183" s="5">
        <v>75</v>
      </c>
      <c r="I183" s="4">
        <v>105</v>
      </c>
      <c r="J183" s="6">
        <v>60</v>
      </c>
      <c r="K183">
        <v>450</v>
      </c>
      <c r="L183" t="s">
        <v>631</v>
      </c>
      <c r="M183" t="s">
        <v>677</v>
      </c>
      <c r="N183" s="19" t="s">
        <v>605</v>
      </c>
      <c r="O183" s="10" t="s">
        <v>707</v>
      </c>
      <c r="P183">
        <v>38</v>
      </c>
      <c r="Q183" t="str">
        <f t="shared" si="11"/>
        <v>Busheep</v>
      </c>
      <c r="T183">
        <v>39</v>
      </c>
      <c r="U183" t="s">
        <v>843</v>
      </c>
      <c r="X183" s="10" t="s">
        <v>353</v>
      </c>
      <c r="Z183">
        <v>172</v>
      </c>
      <c r="AA183" t="s">
        <v>521</v>
      </c>
      <c r="AB183">
        <v>3</v>
      </c>
      <c r="AC183" s="35">
        <v>0.11</v>
      </c>
      <c r="AD183" s="36">
        <f t="shared" si="12"/>
        <v>0.33</v>
      </c>
      <c r="AF183">
        <v>179</v>
      </c>
      <c r="AG183" t="s">
        <v>525</v>
      </c>
      <c r="AH183">
        <v>4</v>
      </c>
      <c r="AI183" s="35">
        <v>2.3999999999999998E-3</v>
      </c>
      <c r="AK183">
        <v>125</v>
      </c>
      <c r="AL183" t="s">
        <v>1229</v>
      </c>
      <c r="AM183">
        <v>1</v>
      </c>
    </row>
    <row r="184" spans="1:40" x14ac:dyDescent="0.25">
      <c r="A184">
        <v>39</v>
      </c>
      <c r="B184">
        <v>39</v>
      </c>
      <c r="C184" t="s">
        <v>423</v>
      </c>
      <c r="D184" s="1">
        <f t="shared" si="10"/>
        <v>520</v>
      </c>
      <c r="E184" s="2">
        <v>70</v>
      </c>
      <c r="F184" s="3">
        <v>130</v>
      </c>
      <c r="G184" s="4">
        <v>95</v>
      </c>
      <c r="H184" s="5">
        <v>45</v>
      </c>
      <c r="I184" s="4">
        <v>80</v>
      </c>
      <c r="J184" s="6">
        <v>100</v>
      </c>
      <c r="K184">
        <v>520</v>
      </c>
      <c r="L184" t="s">
        <v>608</v>
      </c>
      <c r="M184" t="s">
        <v>166</v>
      </c>
      <c r="N184" s="19" t="s">
        <v>1098</v>
      </c>
      <c r="O184" s="31" t="s">
        <v>194</v>
      </c>
      <c r="P184">
        <v>39</v>
      </c>
      <c r="Q184" t="str">
        <f t="shared" si="11"/>
        <v>Ramant</v>
      </c>
      <c r="R184" t="s">
        <v>795</v>
      </c>
      <c r="T184">
        <v>40</v>
      </c>
      <c r="U184" t="s">
        <v>844</v>
      </c>
      <c r="X184" s="10" t="s">
        <v>354</v>
      </c>
      <c r="Y184" t="s">
        <v>579</v>
      </c>
      <c r="Z184">
        <v>219</v>
      </c>
      <c r="AA184" t="s">
        <v>555</v>
      </c>
      <c r="AB184">
        <v>3</v>
      </c>
      <c r="AC184" s="35">
        <v>0.11</v>
      </c>
      <c r="AD184" s="36">
        <f t="shared" si="12"/>
        <v>0.33</v>
      </c>
      <c r="AF184">
        <v>185</v>
      </c>
      <c r="AG184" t="s">
        <v>102</v>
      </c>
      <c r="AH184">
        <v>4</v>
      </c>
      <c r="AI184" s="35">
        <v>2.3999999999999998E-3</v>
      </c>
      <c r="AK184">
        <v>126</v>
      </c>
      <c r="AL184" t="s">
        <v>1241</v>
      </c>
      <c r="AM184">
        <v>1</v>
      </c>
    </row>
    <row r="185" spans="1:40" x14ac:dyDescent="0.25">
      <c r="A185">
        <v>40</v>
      </c>
      <c r="B185">
        <v>40</v>
      </c>
      <c r="C185" s="10" t="s">
        <v>424</v>
      </c>
      <c r="D185" s="1">
        <f t="shared" si="10"/>
        <v>520</v>
      </c>
      <c r="E185" s="2">
        <v>70</v>
      </c>
      <c r="F185" s="3">
        <v>45</v>
      </c>
      <c r="G185" s="4">
        <v>80</v>
      </c>
      <c r="H185" s="5">
        <v>130</v>
      </c>
      <c r="I185" s="4">
        <v>95</v>
      </c>
      <c r="J185" s="6">
        <v>100</v>
      </c>
      <c r="K185">
        <v>520</v>
      </c>
      <c r="L185" t="s">
        <v>611</v>
      </c>
      <c r="M185" t="s">
        <v>609</v>
      </c>
      <c r="N185" s="19" t="s">
        <v>634</v>
      </c>
      <c r="O185" s="16" t="s">
        <v>742</v>
      </c>
      <c r="P185" s="10">
        <v>40</v>
      </c>
      <c r="Q185" t="str">
        <f t="shared" si="11"/>
        <v>Bushewe</v>
      </c>
      <c r="R185" t="s">
        <v>796</v>
      </c>
      <c r="T185">
        <v>41</v>
      </c>
      <c r="U185" t="s">
        <v>845</v>
      </c>
      <c r="X185" t="s">
        <v>355</v>
      </c>
      <c r="Z185">
        <v>149</v>
      </c>
      <c r="AA185" t="s">
        <v>507</v>
      </c>
      <c r="AB185">
        <v>8</v>
      </c>
      <c r="AC185" s="35">
        <v>4.1300000000000003E-2</v>
      </c>
      <c r="AD185" s="36">
        <f t="shared" si="12"/>
        <v>0.33040000000000003</v>
      </c>
      <c r="AF185">
        <v>193</v>
      </c>
      <c r="AG185" t="s">
        <v>529</v>
      </c>
      <c r="AH185">
        <v>4</v>
      </c>
      <c r="AI185" s="35">
        <v>2.3999999999999998E-3</v>
      </c>
      <c r="AK185">
        <v>127</v>
      </c>
      <c r="AL185" t="s">
        <v>1057</v>
      </c>
      <c r="AM185">
        <v>1</v>
      </c>
      <c r="AN185" t="s">
        <v>1555</v>
      </c>
    </row>
    <row r="186" spans="1:40" x14ac:dyDescent="0.25">
      <c r="A186">
        <v>35</v>
      </c>
      <c r="B186">
        <v>41</v>
      </c>
      <c r="C186" t="s">
        <v>47</v>
      </c>
      <c r="D186" s="1">
        <f t="shared" si="10"/>
        <v>315</v>
      </c>
      <c r="E186" s="2">
        <v>40</v>
      </c>
      <c r="F186" s="3">
        <v>60</v>
      </c>
      <c r="G186" s="4">
        <v>65</v>
      </c>
      <c r="H186" s="5">
        <v>30</v>
      </c>
      <c r="I186" s="4">
        <v>50</v>
      </c>
      <c r="J186" s="6">
        <v>70</v>
      </c>
      <c r="K186">
        <v>315</v>
      </c>
      <c r="L186" t="s">
        <v>612</v>
      </c>
      <c r="M186" t="s">
        <v>600</v>
      </c>
      <c r="N186" s="19" t="s">
        <v>1147</v>
      </c>
      <c r="O186" s="10" t="s">
        <v>700</v>
      </c>
      <c r="P186" s="10">
        <v>41</v>
      </c>
      <c r="Q186" t="str">
        <f t="shared" si="11"/>
        <v>Bugik</v>
      </c>
      <c r="R186">
        <v>15</v>
      </c>
      <c r="T186">
        <v>42</v>
      </c>
      <c r="U186" t="s">
        <v>846</v>
      </c>
      <c r="X186" s="10" t="s">
        <v>356</v>
      </c>
      <c r="Z186">
        <v>58</v>
      </c>
      <c r="AA186" t="s">
        <v>1603</v>
      </c>
      <c r="AB186">
        <v>8</v>
      </c>
      <c r="AC186" s="35">
        <v>4.2500000000000003E-2</v>
      </c>
      <c r="AD186" s="36">
        <f t="shared" si="12"/>
        <v>0.34</v>
      </c>
      <c r="AF186">
        <v>221</v>
      </c>
      <c r="AG186" t="s">
        <v>557</v>
      </c>
      <c r="AH186">
        <v>4</v>
      </c>
      <c r="AI186" s="35">
        <v>2.3999999999999998E-3</v>
      </c>
      <c r="AK186">
        <v>128</v>
      </c>
      <c r="AL186" t="s">
        <v>897</v>
      </c>
      <c r="AM186">
        <v>1</v>
      </c>
    </row>
    <row r="187" spans="1:40" x14ac:dyDescent="0.25">
      <c r="A187">
        <v>36</v>
      </c>
      <c r="B187">
        <v>42</v>
      </c>
      <c r="C187" t="s">
        <v>48</v>
      </c>
      <c r="D187" s="1">
        <f t="shared" si="10"/>
        <v>401</v>
      </c>
      <c r="E187" s="2">
        <v>53</v>
      </c>
      <c r="F187" s="3">
        <v>95</v>
      </c>
      <c r="G187" s="4">
        <v>85</v>
      </c>
      <c r="H187" s="5">
        <v>30</v>
      </c>
      <c r="I187" s="4">
        <v>53</v>
      </c>
      <c r="J187" s="6">
        <v>85</v>
      </c>
      <c r="K187">
        <v>401</v>
      </c>
      <c r="L187" t="s">
        <v>612</v>
      </c>
      <c r="M187" t="s">
        <v>635</v>
      </c>
      <c r="N187" s="19" t="s">
        <v>1147</v>
      </c>
      <c r="O187" s="10" t="s">
        <v>701</v>
      </c>
      <c r="P187" s="10">
        <v>42</v>
      </c>
      <c r="Q187" t="str">
        <f t="shared" si="11"/>
        <v>Swordik</v>
      </c>
      <c r="R187">
        <v>39</v>
      </c>
      <c r="T187">
        <v>43</v>
      </c>
      <c r="U187" t="s">
        <v>847</v>
      </c>
      <c r="X187" t="s">
        <v>357</v>
      </c>
      <c r="Z187">
        <v>140</v>
      </c>
      <c r="AA187" t="s">
        <v>500</v>
      </c>
      <c r="AB187">
        <v>5</v>
      </c>
      <c r="AC187" s="35">
        <v>6.8000000000000005E-2</v>
      </c>
      <c r="AD187" s="36">
        <f t="shared" si="12"/>
        <v>0.34</v>
      </c>
      <c r="AF187">
        <v>239</v>
      </c>
      <c r="AG187" t="s">
        <v>802</v>
      </c>
      <c r="AH187">
        <v>4</v>
      </c>
      <c r="AI187" s="35">
        <v>2.3999999999999998E-3</v>
      </c>
      <c r="AK187">
        <v>129</v>
      </c>
      <c r="AL187" t="s">
        <v>907</v>
      </c>
      <c r="AM187">
        <v>1</v>
      </c>
    </row>
    <row r="188" spans="1:40" x14ac:dyDescent="0.25">
      <c r="A188">
        <v>37</v>
      </c>
      <c r="B188">
        <v>43</v>
      </c>
      <c r="C188" t="s">
        <v>49</v>
      </c>
      <c r="D188" s="1">
        <f t="shared" si="10"/>
        <v>505</v>
      </c>
      <c r="E188" s="2">
        <v>63</v>
      </c>
      <c r="F188" s="3">
        <v>120</v>
      </c>
      <c r="G188" s="4">
        <v>90</v>
      </c>
      <c r="H188" s="5">
        <v>62</v>
      </c>
      <c r="I188" s="4">
        <v>65</v>
      </c>
      <c r="J188" s="6">
        <v>105</v>
      </c>
      <c r="K188">
        <v>505</v>
      </c>
      <c r="L188" t="s">
        <v>613</v>
      </c>
      <c r="M188" t="s">
        <v>635</v>
      </c>
      <c r="N188" s="19" t="s">
        <v>1147</v>
      </c>
      <c r="O188" s="54" t="s">
        <v>702</v>
      </c>
      <c r="P188" t="s">
        <v>1503</v>
      </c>
      <c r="Q188" t="str">
        <f t="shared" si="11"/>
        <v>Ninjakik</v>
      </c>
      <c r="T188">
        <v>44</v>
      </c>
      <c r="U188" t="s">
        <v>848</v>
      </c>
      <c r="X188" t="s">
        <v>358</v>
      </c>
      <c r="Z188">
        <v>175</v>
      </c>
      <c r="AA188" t="s">
        <v>570</v>
      </c>
      <c r="AB188">
        <v>5</v>
      </c>
      <c r="AC188" s="35">
        <v>6.8000000000000005E-2</v>
      </c>
      <c r="AD188" s="36">
        <f t="shared" si="12"/>
        <v>0.34</v>
      </c>
      <c r="AF188">
        <v>255</v>
      </c>
      <c r="AG188" t="s">
        <v>1133</v>
      </c>
      <c r="AH188">
        <v>4</v>
      </c>
      <c r="AI188" s="35">
        <v>2.3999999999999998E-3</v>
      </c>
      <c r="AK188">
        <v>130</v>
      </c>
      <c r="AL188" t="s">
        <v>908</v>
      </c>
      <c r="AM188">
        <v>1</v>
      </c>
    </row>
    <row r="189" spans="1:40" x14ac:dyDescent="0.25">
      <c r="A189">
        <v>60</v>
      </c>
      <c r="B189">
        <v>44</v>
      </c>
      <c r="C189" t="s">
        <v>574</v>
      </c>
      <c r="D189" s="1">
        <f t="shared" si="10"/>
        <v>220</v>
      </c>
      <c r="E189" s="2">
        <v>40</v>
      </c>
      <c r="F189" s="3">
        <v>30</v>
      </c>
      <c r="G189" s="4">
        <v>30</v>
      </c>
      <c r="H189" s="5">
        <v>40</v>
      </c>
      <c r="I189" s="4">
        <v>50</v>
      </c>
      <c r="J189" s="6">
        <v>30</v>
      </c>
      <c r="K189">
        <v>220</v>
      </c>
      <c r="L189" t="s">
        <v>614</v>
      </c>
      <c r="M189" t="s">
        <v>615</v>
      </c>
      <c r="N189" s="19"/>
      <c r="O189" s="54" t="s">
        <v>703</v>
      </c>
      <c r="P189" t="s">
        <v>1504</v>
      </c>
      <c r="Q189" t="str">
        <f t="shared" si="11"/>
        <v>Lotad</v>
      </c>
      <c r="R189">
        <v>16</v>
      </c>
      <c r="T189">
        <v>45</v>
      </c>
      <c r="U189" t="s">
        <v>849</v>
      </c>
      <c r="X189" t="s">
        <v>359</v>
      </c>
      <c r="Z189">
        <v>273</v>
      </c>
      <c r="AA189" t="s">
        <v>1158</v>
      </c>
      <c r="AB189">
        <v>5</v>
      </c>
      <c r="AC189" s="35">
        <v>6.8000000000000005E-2</v>
      </c>
      <c r="AD189" s="36">
        <f t="shared" si="12"/>
        <v>0.34</v>
      </c>
      <c r="AF189">
        <v>257</v>
      </c>
      <c r="AG189" t="s">
        <v>1135</v>
      </c>
      <c r="AH189">
        <v>4</v>
      </c>
      <c r="AI189" s="35">
        <v>2.3999999999999998E-3</v>
      </c>
      <c r="AK189">
        <v>131</v>
      </c>
      <c r="AL189" t="s">
        <v>909</v>
      </c>
      <c r="AM189">
        <v>1</v>
      </c>
    </row>
    <row r="190" spans="1:40" x14ac:dyDescent="0.25">
      <c r="A190">
        <v>61</v>
      </c>
      <c r="B190">
        <v>45</v>
      </c>
      <c r="C190" t="s">
        <v>575</v>
      </c>
      <c r="D190" s="1">
        <f t="shared" si="10"/>
        <v>340</v>
      </c>
      <c r="E190" s="2">
        <v>60</v>
      </c>
      <c r="F190" s="3">
        <v>50</v>
      </c>
      <c r="G190" s="4">
        <v>50</v>
      </c>
      <c r="H190" s="5">
        <v>60</v>
      </c>
      <c r="I190" s="4">
        <v>70</v>
      </c>
      <c r="J190" s="6">
        <v>50</v>
      </c>
      <c r="K190">
        <v>340</v>
      </c>
      <c r="L190" t="s">
        <v>614</v>
      </c>
      <c r="M190" t="s">
        <v>615</v>
      </c>
      <c r="N190" s="19"/>
      <c r="O190" s="10" t="s">
        <v>725</v>
      </c>
      <c r="P190" s="10">
        <v>45</v>
      </c>
      <c r="Q190" t="str">
        <f t="shared" si="11"/>
        <v>Lombre</v>
      </c>
      <c r="R190" t="s">
        <v>787</v>
      </c>
      <c r="T190">
        <v>46</v>
      </c>
      <c r="U190" t="s">
        <v>850</v>
      </c>
      <c r="X190" t="s">
        <v>360</v>
      </c>
      <c r="Z190">
        <v>92</v>
      </c>
      <c r="AA190" t="s">
        <v>468</v>
      </c>
      <c r="AB190">
        <v>4</v>
      </c>
      <c r="AC190" s="35">
        <v>8.7499999999999994E-2</v>
      </c>
      <c r="AD190" s="36">
        <f t="shared" si="12"/>
        <v>0.35</v>
      </c>
      <c r="AF190">
        <v>261</v>
      </c>
      <c r="AG190" t="s">
        <v>1139</v>
      </c>
      <c r="AH190">
        <v>4</v>
      </c>
      <c r="AI190" s="35">
        <v>2.3999999999999998E-3</v>
      </c>
      <c r="AK190">
        <v>133</v>
      </c>
      <c r="AL190" t="s">
        <v>925</v>
      </c>
      <c r="AM190">
        <v>1</v>
      </c>
    </row>
    <row r="191" spans="1:40" x14ac:dyDescent="0.25">
      <c r="A191">
        <v>62</v>
      </c>
      <c r="B191">
        <v>46</v>
      </c>
      <c r="C191" t="s">
        <v>576</v>
      </c>
      <c r="D191" s="1">
        <f t="shared" si="10"/>
        <v>480</v>
      </c>
      <c r="E191" s="2">
        <v>80</v>
      </c>
      <c r="F191" s="3">
        <v>70</v>
      </c>
      <c r="G191" s="4">
        <v>70</v>
      </c>
      <c r="H191" s="5">
        <v>90</v>
      </c>
      <c r="I191" s="4">
        <v>100</v>
      </c>
      <c r="J191" s="6">
        <v>70</v>
      </c>
      <c r="K191">
        <v>480</v>
      </c>
      <c r="L191" t="s">
        <v>614</v>
      </c>
      <c r="M191" t="s">
        <v>615</v>
      </c>
      <c r="N191" s="19"/>
      <c r="O191" s="10" t="s">
        <v>708</v>
      </c>
      <c r="P191">
        <v>46</v>
      </c>
      <c r="Q191" t="str">
        <f t="shared" si="11"/>
        <v>Ludicolo</v>
      </c>
      <c r="T191">
        <v>47</v>
      </c>
      <c r="U191" t="s">
        <v>1189</v>
      </c>
      <c r="X191" s="12" t="s">
        <v>198</v>
      </c>
      <c r="Z191">
        <v>136</v>
      </c>
      <c r="AA191" t="s">
        <v>63</v>
      </c>
      <c r="AB191">
        <v>3</v>
      </c>
      <c r="AC191" s="35">
        <v>0.1167</v>
      </c>
      <c r="AD191" s="36">
        <f t="shared" si="12"/>
        <v>0.35009999999999997</v>
      </c>
      <c r="AF191">
        <v>279</v>
      </c>
      <c r="AG191" t="s">
        <v>1173</v>
      </c>
      <c r="AH191">
        <v>4</v>
      </c>
      <c r="AI191" s="35">
        <v>2.3999999999999998E-3</v>
      </c>
      <c r="AK191">
        <v>134</v>
      </c>
      <c r="AL191" t="s">
        <v>911</v>
      </c>
      <c r="AM191">
        <v>1</v>
      </c>
    </row>
    <row r="192" spans="1:40" x14ac:dyDescent="0.25">
      <c r="A192">
        <v>129</v>
      </c>
      <c r="B192">
        <v>47</v>
      </c>
      <c r="C192" t="s">
        <v>426</v>
      </c>
      <c r="D192" s="1">
        <f t="shared" si="10"/>
        <v>455</v>
      </c>
      <c r="E192" s="2">
        <v>60</v>
      </c>
      <c r="F192" s="3">
        <v>40</v>
      </c>
      <c r="G192" s="4">
        <v>39</v>
      </c>
      <c r="H192" s="5">
        <v>120</v>
      </c>
      <c r="I192" s="4">
        <v>95</v>
      </c>
      <c r="J192" s="6">
        <v>101</v>
      </c>
      <c r="K192">
        <v>455</v>
      </c>
      <c r="L192" t="s">
        <v>610</v>
      </c>
      <c r="M192" t="s">
        <v>639</v>
      </c>
      <c r="N192" s="19" t="s">
        <v>868</v>
      </c>
      <c r="O192" s="16" t="s">
        <v>773</v>
      </c>
      <c r="P192" s="10">
        <v>47</v>
      </c>
      <c r="Q192" t="str">
        <f t="shared" si="11"/>
        <v>Bluebunn</v>
      </c>
      <c r="X192" s="10" t="s">
        <v>361</v>
      </c>
      <c r="Z192">
        <v>156</v>
      </c>
      <c r="AA192" t="s">
        <v>37</v>
      </c>
      <c r="AB192">
        <v>3</v>
      </c>
      <c r="AC192" s="35">
        <v>0.1167</v>
      </c>
      <c r="AD192" s="36">
        <f t="shared" si="12"/>
        <v>0.35009999999999997</v>
      </c>
      <c r="AF192">
        <v>13</v>
      </c>
      <c r="AG192" t="s">
        <v>1575</v>
      </c>
      <c r="AH192">
        <v>5</v>
      </c>
      <c r="AI192" s="35">
        <v>3.0000000000000001E-3</v>
      </c>
      <c r="AK192">
        <v>135</v>
      </c>
      <c r="AL192" t="s">
        <v>926</v>
      </c>
      <c r="AM192">
        <v>1</v>
      </c>
      <c r="AN192" t="s">
        <v>1555</v>
      </c>
    </row>
    <row r="193" spans="1:40" x14ac:dyDescent="0.25">
      <c r="A193">
        <v>125</v>
      </c>
      <c r="B193">
        <v>48</v>
      </c>
      <c r="C193" t="s">
        <v>17</v>
      </c>
      <c r="D193" s="1">
        <f t="shared" si="10"/>
        <v>325</v>
      </c>
      <c r="E193" s="2">
        <v>68</v>
      </c>
      <c r="F193" s="3">
        <v>72</v>
      </c>
      <c r="G193" s="4">
        <v>122</v>
      </c>
      <c r="H193" s="5">
        <v>20</v>
      </c>
      <c r="I193" s="4">
        <v>25</v>
      </c>
      <c r="J193" s="6">
        <v>18</v>
      </c>
      <c r="K193">
        <v>325</v>
      </c>
      <c r="L193" t="s">
        <v>616</v>
      </c>
      <c r="M193" t="s">
        <v>167</v>
      </c>
      <c r="N193" s="19" t="s">
        <v>642</v>
      </c>
      <c r="O193" s="16" t="s">
        <v>781</v>
      </c>
      <c r="P193" s="10">
        <v>48</v>
      </c>
      <c r="Q193" t="str">
        <f t="shared" si="11"/>
        <v>Rocky</v>
      </c>
      <c r="R193">
        <v>22</v>
      </c>
      <c r="X193" t="s">
        <v>362</v>
      </c>
      <c r="Z193">
        <v>88</v>
      </c>
      <c r="AA193" t="s">
        <v>464</v>
      </c>
      <c r="AB193">
        <v>9</v>
      </c>
      <c r="AC193" s="35">
        <v>0.04</v>
      </c>
      <c r="AD193" s="36">
        <f t="shared" si="12"/>
        <v>0.36</v>
      </c>
      <c r="AF193">
        <v>42</v>
      </c>
      <c r="AG193" t="s">
        <v>1590</v>
      </c>
      <c r="AH193">
        <v>5</v>
      </c>
      <c r="AI193" s="35">
        <v>3.0000000000000001E-3</v>
      </c>
      <c r="AK193">
        <v>136</v>
      </c>
      <c r="AL193" t="s">
        <v>927</v>
      </c>
      <c r="AM193">
        <v>1</v>
      </c>
      <c r="AN193" t="s">
        <v>1555</v>
      </c>
    </row>
    <row r="194" spans="1:40" x14ac:dyDescent="0.25">
      <c r="A194">
        <v>126</v>
      </c>
      <c r="B194">
        <v>49</v>
      </c>
      <c r="C194" t="s">
        <v>18</v>
      </c>
      <c r="D194" s="1">
        <f t="shared" si="10"/>
        <v>425</v>
      </c>
      <c r="E194" s="2">
        <v>87</v>
      </c>
      <c r="F194" s="3">
        <v>95</v>
      </c>
      <c r="G194" s="4">
        <v>143</v>
      </c>
      <c r="H194" s="5">
        <v>25</v>
      </c>
      <c r="I194" s="4">
        <v>30</v>
      </c>
      <c r="J194" s="6">
        <v>45</v>
      </c>
      <c r="K194">
        <v>425</v>
      </c>
      <c r="L194" t="s">
        <v>616</v>
      </c>
      <c r="M194" t="s">
        <v>167</v>
      </c>
      <c r="N194" s="19" t="s">
        <v>642</v>
      </c>
      <c r="O194" s="10" t="s">
        <v>680</v>
      </c>
      <c r="P194" s="10">
        <v>49</v>
      </c>
      <c r="Q194" t="str">
        <f t="shared" si="11"/>
        <v>Boulder</v>
      </c>
      <c r="R194" t="s">
        <v>793</v>
      </c>
      <c r="U194" s="10" t="s">
        <v>426</v>
      </c>
      <c r="V194" t="s">
        <v>407</v>
      </c>
      <c r="X194" s="10" t="s">
        <v>363</v>
      </c>
      <c r="Z194">
        <v>294</v>
      </c>
      <c r="AA194" t="s">
        <v>1192</v>
      </c>
      <c r="AB194">
        <v>5</v>
      </c>
      <c r="AC194" s="35">
        <v>7.1999999999999995E-2</v>
      </c>
      <c r="AD194" s="36">
        <f t="shared" si="12"/>
        <v>0.36</v>
      </c>
      <c r="AF194">
        <v>120</v>
      </c>
      <c r="AG194" t="s">
        <v>90</v>
      </c>
      <c r="AH194">
        <v>5</v>
      </c>
      <c r="AI194" s="35">
        <v>3.0000000000000001E-3</v>
      </c>
      <c r="AK194">
        <v>137</v>
      </c>
      <c r="AL194" t="s">
        <v>912</v>
      </c>
      <c r="AM194">
        <v>1</v>
      </c>
    </row>
    <row r="195" spans="1:40" x14ac:dyDescent="0.25">
      <c r="A195">
        <v>127</v>
      </c>
      <c r="B195">
        <v>50</v>
      </c>
      <c r="C195" t="s">
        <v>19</v>
      </c>
      <c r="D195" s="1">
        <f t="shared" si="10"/>
        <v>525</v>
      </c>
      <c r="E195" s="2">
        <v>95</v>
      </c>
      <c r="F195" s="3">
        <v>110</v>
      </c>
      <c r="G195" s="4">
        <v>150</v>
      </c>
      <c r="H195" s="5">
        <v>70</v>
      </c>
      <c r="I195" s="4">
        <v>45</v>
      </c>
      <c r="J195" s="6">
        <v>55</v>
      </c>
      <c r="K195">
        <v>525</v>
      </c>
      <c r="L195" t="s">
        <v>616</v>
      </c>
      <c r="M195" t="s">
        <v>167</v>
      </c>
      <c r="N195" s="19" t="s">
        <v>642</v>
      </c>
      <c r="O195" s="10" t="s">
        <v>689</v>
      </c>
      <c r="P195" s="10">
        <v>50</v>
      </c>
      <c r="Q195" t="str">
        <f t="shared" si="11"/>
        <v>Blaster</v>
      </c>
      <c r="U195" t="s">
        <v>437</v>
      </c>
      <c r="V195" t="s">
        <v>500</v>
      </c>
      <c r="X195" t="s">
        <v>364</v>
      </c>
      <c r="Z195">
        <v>41</v>
      </c>
      <c r="AA195" t="s">
        <v>1589</v>
      </c>
      <c r="AB195">
        <v>4</v>
      </c>
      <c r="AC195" s="35">
        <v>0.09</v>
      </c>
      <c r="AD195" s="36">
        <f t="shared" si="12"/>
        <v>0.36</v>
      </c>
      <c r="AF195">
        <v>124</v>
      </c>
      <c r="AG195" t="s">
        <v>42</v>
      </c>
      <c r="AH195">
        <v>5</v>
      </c>
      <c r="AI195" s="35">
        <v>3.0000000000000001E-3</v>
      </c>
      <c r="AK195">
        <v>138</v>
      </c>
      <c r="AL195" t="s">
        <v>913</v>
      </c>
      <c r="AM195">
        <v>1</v>
      </c>
    </row>
    <row r="196" spans="1:40" x14ac:dyDescent="0.25">
      <c r="A196">
        <v>128</v>
      </c>
      <c r="B196">
        <v>51</v>
      </c>
      <c r="C196" s="10" t="s">
        <v>427</v>
      </c>
      <c r="D196" s="1">
        <f t="shared" si="10"/>
        <v>525</v>
      </c>
      <c r="E196" s="2">
        <v>90</v>
      </c>
      <c r="F196" s="3">
        <v>75</v>
      </c>
      <c r="G196" s="4">
        <v>50</v>
      </c>
      <c r="H196" s="5">
        <v>110</v>
      </c>
      <c r="I196" s="4">
        <v>150</v>
      </c>
      <c r="J196" s="6">
        <v>50</v>
      </c>
      <c r="K196">
        <v>525</v>
      </c>
      <c r="L196" t="s">
        <v>616</v>
      </c>
      <c r="M196" t="s">
        <v>617</v>
      </c>
      <c r="N196" s="19" t="s">
        <v>595</v>
      </c>
      <c r="O196" s="10" t="s">
        <v>681</v>
      </c>
      <c r="P196" s="10">
        <v>51</v>
      </c>
      <c r="Q196" t="str">
        <f t="shared" si="11"/>
        <v>Crystallor</v>
      </c>
      <c r="R196" t="s">
        <v>784</v>
      </c>
      <c r="U196" t="s">
        <v>453</v>
      </c>
      <c r="V196" t="s">
        <v>571</v>
      </c>
      <c r="X196" s="12" t="s">
        <v>365</v>
      </c>
      <c r="Z196">
        <v>75</v>
      </c>
      <c r="AA196" t="s">
        <v>451</v>
      </c>
      <c r="AB196">
        <v>4</v>
      </c>
      <c r="AC196" s="35">
        <v>0.09</v>
      </c>
      <c r="AD196" s="36">
        <f t="shared" si="12"/>
        <v>0.36</v>
      </c>
      <c r="AF196">
        <v>127</v>
      </c>
      <c r="AG196" t="s">
        <v>492</v>
      </c>
      <c r="AH196">
        <v>5</v>
      </c>
      <c r="AI196" s="35">
        <v>3.0000000000000001E-3</v>
      </c>
      <c r="AK196">
        <v>139</v>
      </c>
      <c r="AL196" t="s">
        <v>914</v>
      </c>
      <c r="AM196">
        <v>1</v>
      </c>
    </row>
    <row r="197" spans="1:40" x14ac:dyDescent="0.25">
      <c r="A197">
        <v>107</v>
      </c>
      <c r="B197">
        <v>52</v>
      </c>
      <c r="C197" t="s">
        <v>428</v>
      </c>
      <c r="D197" s="1">
        <f t="shared" si="10"/>
        <v>410</v>
      </c>
      <c r="E197" s="2">
        <v>72</v>
      </c>
      <c r="F197" s="3">
        <v>83</v>
      </c>
      <c r="G197" s="4">
        <v>75</v>
      </c>
      <c r="H197" s="5">
        <v>62</v>
      </c>
      <c r="I197" s="4">
        <v>58</v>
      </c>
      <c r="J197" s="6">
        <v>60</v>
      </c>
      <c r="K197">
        <v>410</v>
      </c>
      <c r="L197" t="s">
        <v>620</v>
      </c>
      <c r="M197" t="s">
        <v>656</v>
      </c>
      <c r="N197" s="19" t="s">
        <v>617</v>
      </c>
      <c r="O197" s="11" t="s">
        <v>719</v>
      </c>
      <c r="P197">
        <v>52</v>
      </c>
      <c r="Q197" t="str">
        <f t="shared" si="11"/>
        <v>Carinx</v>
      </c>
      <c r="R197">
        <v>30</v>
      </c>
      <c r="U197" s="10" t="s">
        <v>100</v>
      </c>
      <c r="V197" t="s">
        <v>103</v>
      </c>
      <c r="X197" t="s">
        <v>366</v>
      </c>
      <c r="Z197">
        <v>190</v>
      </c>
      <c r="AA197" t="s">
        <v>527</v>
      </c>
      <c r="AB197">
        <v>4</v>
      </c>
      <c r="AC197" s="35">
        <v>0.09</v>
      </c>
      <c r="AD197" s="36">
        <f t="shared" si="12"/>
        <v>0.36</v>
      </c>
      <c r="AF197">
        <v>139</v>
      </c>
      <c r="AG197" t="s">
        <v>499</v>
      </c>
      <c r="AH197">
        <v>5</v>
      </c>
      <c r="AI197" s="35">
        <v>3.0000000000000001E-3</v>
      </c>
      <c r="AK197">
        <v>142</v>
      </c>
      <c r="AL197" t="s">
        <v>917</v>
      </c>
      <c r="AM197">
        <v>1</v>
      </c>
    </row>
    <row r="198" spans="1:40" x14ac:dyDescent="0.25">
      <c r="A198">
        <v>108</v>
      </c>
      <c r="B198">
        <v>53</v>
      </c>
      <c r="C198" t="s">
        <v>429</v>
      </c>
      <c r="D198" s="1">
        <f t="shared" si="10"/>
        <v>465</v>
      </c>
      <c r="E198" s="2">
        <v>85</v>
      </c>
      <c r="F198" s="3">
        <v>95</v>
      </c>
      <c r="G198" s="4">
        <v>77</v>
      </c>
      <c r="H198" s="5">
        <v>55</v>
      </c>
      <c r="I198" s="4">
        <v>88</v>
      </c>
      <c r="J198" s="6">
        <v>65</v>
      </c>
      <c r="K198">
        <v>465</v>
      </c>
      <c r="L198" t="s">
        <v>619</v>
      </c>
      <c r="M198" t="s">
        <v>656</v>
      </c>
      <c r="N198" s="19" t="s">
        <v>621</v>
      </c>
      <c r="O198" s="16" t="s">
        <v>724</v>
      </c>
      <c r="P198">
        <v>53</v>
      </c>
      <c r="Q198" t="str">
        <f t="shared" si="11"/>
        <v>Carinator</v>
      </c>
      <c r="R198" t="s">
        <v>785</v>
      </c>
      <c r="U198" s="10" t="s">
        <v>577</v>
      </c>
      <c r="V198" t="s">
        <v>798</v>
      </c>
      <c r="X198" s="10" t="s">
        <v>367</v>
      </c>
      <c r="Z198">
        <v>296</v>
      </c>
      <c r="AA198" t="s">
        <v>1196</v>
      </c>
      <c r="AB198">
        <v>4</v>
      </c>
      <c r="AC198" s="35">
        <v>0.09</v>
      </c>
      <c r="AD198" s="36">
        <f t="shared" si="12"/>
        <v>0.36</v>
      </c>
      <c r="AF198">
        <v>144</v>
      </c>
      <c r="AG198" t="s">
        <v>67</v>
      </c>
      <c r="AH198">
        <v>5</v>
      </c>
      <c r="AI198" s="35">
        <v>3.0000000000000001E-3</v>
      </c>
      <c r="AK198">
        <v>143</v>
      </c>
      <c r="AL198" t="s">
        <v>918</v>
      </c>
      <c r="AM198">
        <v>1</v>
      </c>
    </row>
    <row r="199" spans="1:40" x14ac:dyDescent="0.25">
      <c r="A199">
        <v>109</v>
      </c>
      <c r="B199">
        <v>54</v>
      </c>
      <c r="C199" s="10" t="s">
        <v>430</v>
      </c>
      <c r="D199" s="1">
        <f t="shared" si="10"/>
        <v>535</v>
      </c>
      <c r="E199" s="2">
        <v>99</v>
      </c>
      <c r="F199" s="3">
        <v>120</v>
      </c>
      <c r="G199" s="4">
        <v>81</v>
      </c>
      <c r="H199" s="5">
        <v>69</v>
      </c>
      <c r="I199" s="4">
        <v>96</v>
      </c>
      <c r="J199" s="6">
        <v>70</v>
      </c>
      <c r="K199">
        <v>535</v>
      </c>
      <c r="L199" s="10" t="s">
        <v>618</v>
      </c>
      <c r="M199" t="s">
        <v>656</v>
      </c>
      <c r="N199" s="19" t="s">
        <v>621</v>
      </c>
      <c r="O199" s="10" t="s">
        <v>690</v>
      </c>
      <c r="P199" s="10">
        <v>54</v>
      </c>
      <c r="Q199" t="str">
        <f t="shared" si="11"/>
        <v>Cairnasaur</v>
      </c>
      <c r="U199" t="s">
        <v>493</v>
      </c>
      <c r="V199" t="s">
        <v>530</v>
      </c>
      <c r="X199" s="10" t="s">
        <v>200</v>
      </c>
      <c r="Z199">
        <v>11</v>
      </c>
      <c r="AA199" t="s">
        <v>1573</v>
      </c>
      <c r="AB199">
        <v>3</v>
      </c>
      <c r="AC199" s="35">
        <v>0.12</v>
      </c>
      <c r="AD199" s="36">
        <f t="shared" si="12"/>
        <v>0.36</v>
      </c>
      <c r="AF199">
        <v>160</v>
      </c>
      <c r="AG199" t="s">
        <v>36</v>
      </c>
      <c r="AH199">
        <v>5</v>
      </c>
      <c r="AI199" s="35">
        <v>3.0000000000000001E-3</v>
      </c>
      <c r="AK199">
        <v>144</v>
      </c>
      <c r="AL199" t="s">
        <v>919</v>
      </c>
      <c r="AM199">
        <v>1</v>
      </c>
    </row>
    <row r="200" spans="1:40" x14ac:dyDescent="0.25">
      <c r="A200">
        <v>130</v>
      </c>
      <c r="B200">
        <v>55</v>
      </c>
      <c r="C200" t="s">
        <v>431</v>
      </c>
      <c r="D200" s="1">
        <f t="shared" si="10"/>
        <v>380</v>
      </c>
      <c r="E200" s="2">
        <v>55</v>
      </c>
      <c r="F200" s="3">
        <v>90</v>
      </c>
      <c r="G200" s="4">
        <v>60</v>
      </c>
      <c r="H200" s="5">
        <v>45</v>
      </c>
      <c r="I200" s="4">
        <v>50</v>
      </c>
      <c r="J200" s="6">
        <v>80</v>
      </c>
      <c r="K200">
        <v>380</v>
      </c>
      <c r="L200" t="s">
        <v>621</v>
      </c>
      <c r="M200" t="s">
        <v>604</v>
      </c>
      <c r="N200" s="19" t="s">
        <v>616</v>
      </c>
      <c r="O200" s="51" t="s">
        <v>770</v>
      </c>
      <c r="P200" t="s">
        <v>1499</v>
      </c>
      <c r="Q200" t="str">
        <f t="shared" si="11"/>
        <v>Pebblepup</v>
      </c>
      <c r="R200">
        <v>34</v>
      </c>
      <c r="U200" t="s">
        <v>1069</v>
      </c>
      <c r="V200" t="s">
        <v>532</v>
      </c>
      <c r="X200" s="10" t="s">
        <v>368</v>
      </c>
      <c r="Z200">
        <v>188</v>
      </c>
      <c r="AA200" t="s">
        <v>96</v>
      </c>
      <c r="AB200">
        <v>2</v>
      </c>
      <c r="AC200" s="35">
        <v>0.18</v>
      </c>
      <c r="AD200" s="36">
        <f t="shared" si="12"/>
        <v>0.36</v>
      </c>
      <c r="AF200">
        <v>10</v>
      </c>
      <c r="AG200" t="s">
        <v>1572</v>
      </c>
      <c r="AH200">
        <v>6</v>
      </c>
      <c r="AI200" s="35">
        <v>3.5999999999999999E-3</v>
      </c>
      <c r="AK200">
        <v>146</v>
      </c>
      <c r="AL200" t="s">
        <v>921</v>
      </c>
      <c r="AM200">
        <v>1</v>
      </c>
      <c r="AN200" t="s">
        <v>1554</v>
      </c>
    </row>
    <row r="201" spans="1:40" x14ac:dyDescent="0.25">
      <c r="A201">
        <v>131</v>
      </c>
      <c r="B201">
        <v>56</v>
      </c>
      <c r="C201" s="10" t="s">
        <v>432</v>
      </c>
      <c r="D201" s="1">
        <f t="shared" si="10"/>
        <v>500</v>
      </c>
      <c r="E201" s="2">
        <v>75</v>
      </c>
      <c r="F201" s="3">
        <v>111</v>
      </c>
      <c r="G201" s="4">
        <v>75</v>
      </c>
      <c r="H201" s="5">
        <v>90</v>
      </c>
      <c r="I201" s="4">
        <v>64</v>
      </c>
      <c r="J201" s="6">
        <v>85</v>
      </c>
      <c r="K201">
        <v>500</v>
      </c>
      <c r="L201" t="s">
        <v>621</v>
      </c>
      <c r="M201" t="s">
        <v>604</v>
      </c>
      <c r="N201" s="19" t="s">
        <v>616</v>
      </c>
      <c r="O201" s="51" t="s">
        <v>769</v>
      </c>
      <c r="P201" t="s">
        <v>1500</v>
      </c>
      <c r="Q201" t="str">
        <f t="shared" si="11"/>
        <v>Boulderoar</v>
      </c>
      <c r="U201" t="s">
        <v>503</v>
      </c>
      <c r="V201" t="s">
        <v>568</v>
      </c>
      <c r="X201" s="10" t="s">
        <v>369</v>
      </c>
      <c r="Z201">
        <v>151</v>
      </c>
      <c r="AA201" t="s">
        <v>509</v>
      </c>
      <c r="AB201">
        <v>4</v>
      </c>
      <c r="AC201" s="35">
        <v>9.2499999999999999E-2</v>
      </c>
      <c r="AD201" s="36">
        <f t="shared" si="12"/>
        <v>0.37</v>
      </c>
      <c r="AF201">
        <v>16</v>
      </c>
      <c r="AG201" t="s">
        <v>15</v>
      </c>
      <c r="AH201">
        <v>6</v>
      </c>
      <c r="AI201" s="35">
        <v>3.5999999999999999E-3</v>
      </c>
      <c r="AK201">
        <v>147</v>
      </c>
      <c r="AL201" t="s">
        <v>922</v>
      </c>
      <c r="AM201">
        <v>1</v>
      </c>
    </row>
    <row r="202" spans="1:40" x14ac:dyDescent="0.25">
      <c r="A202">
        <v>180</v>
      </c>
      <c r="B202">
        <v>57</v>
      </c>
      <c r="C202" t="s">
        <v>433</v>
      </c>
      <c r="D202" s="1">
        <f t="shared" si="10"/>
        <v>393</v>
      </c>
      <c r="E202" s="2">
        <v>52</v>
      </c>
      <c r="F202" s="3">
        <v>72</v>
      </c>
      <c r="G202" s="4">
        <v>69</v>
      </c>
      <c r="H202" s="5">
        <v>77</v>
      </c>
      <c r="I202" s="4">
        <v>56</v>
      </c>
      <c r="J202" s="6">
        <v>67</v>
      </c>
      <c r="K202">
        <v>393</v>
      </c>
      <c r="L202" t="s">
        <v>622</v>
      </c>
      <c r="M202" t="s">
        <v>623</v>
      </c>
      <c r="N202" s="19" t="s">
        <v>599</v>
      </c>
      <c r="O202" s="51" t="s">
        <v>745</v>
      </c>
      <c r="P202" t="s">
        <v>1505</v>
      </c>
      <c r="Q202" t="str">
        <f t="shared" si="11"/>
        <v>Fightorex</v>
      </c>
      <c r="R202">
        <v>36</v>
      </c>
      <c r="U202" s="10" t="s">
        <v>508</v>
      </c>
      <c r="X202" s="10" t="s">
        <v>370</v>
      </c>
      <c r="Z202">
        <v>46</v>
      </c>
      <c r="AA202" t="s">
        <v>576</v>
      </c>
      <c r="AB202">
        <v>3</v>
      </c>
      <c r="AC202" s="35">
        <v>0.12670000000000001</v>
      </c>
      <c r="AD202" s="36">
        <f t="shared" si="12"/>
        <v>0.38009999999999999</v>
      </c>
      <c r="AF202">
        <v>17</v>
      </c>
      <c r="AG202" t="s">
        <v>1578</v>
      </c>
      <c r="AH202">
        <v>6</v>
      </c>
      <c r="AI202" s="35">
        <v>3.5999999999999999E-3</v>
      </c>
      <c r="AK202">
        <v>148</v>
      </c>
      <c r="AL202" t="s">
        <v>923</v>
      </c>
      <c r="AM202">
        <v>1</v>
      </c>
    </row>
    <row r="203" spans="1:40" x14ac:dyDescent="0.25">
      <c r="A203">
        <v>181</v>
      </c>
      <c r="B203">
        <v>58</v>
      </c>
      <c r="C203" s="10" t="s">
        <v>434</v>
      </c>
      <c r="D203" s="1">
        <f t="shared" si="10"/>
        <v>523</v>
      </c>
      <c r="E203" s="2">
        <v>66</v>
      </c>
      <c r="F203" s="3">
        <v>74</v>
      </c>
      <c r="G203" s="4">
        <v>85</v>
      </c>
      <c r="H203" s="5">
        <v>106</v>
      </c>
      <c r="I203" s="4">
        <v>95</v>
      </c>
      <c r="J203" s="6">
        <v>97</v>
      </c>
      <c r="K203">
        <v>523</v>
      </c>
      <c r="L203" t="s">
        <v>622</v>
      </c>
      <c r="M203" t="s">
        <v>623</v>
      </c>
      <c r="N203" s="19" t="s">
        <v>599</v>
      </c>
      <c r="O203" s="16" t="s">
        <v>746</v>
      </c>
      <c r="P203" s="17">
        <v>58</v>
      </c>
      <c r="Q203" t="str">
        <f t="shared" si="11"/>
        <v>Raptorex</v>
      </c>
      <c r="U203" t="s">
        <v>524</v>
      </c>
      <c r="X203" t="s">
        <v>371</v>
      </c>
      <c r="Z203">
        <v>184</v>
      </c>
      <c r="AA203" t="s">
        <v>101</v>
      </c>
      <c r="AB203">
        <v>3</v>
      </c>
      <c r="AC203" s="35">
        <v>0.12670000000000001</v>
      </c>
      <c r="AD203" s="36">
        <f t="shared" si="12"/>
        <v>0.38009999999999999</v>
      </c>
      <c r="AF203">
        <v>22</v>
      </c>
      <c r="AG203" t="s">
        <v>1583</v>
      </c>
      <c r="AH203">
        <v>6</v>
      </c>
      <c r="AI203" s="35">
        <v>3.5999999999999999E-3</v>
      </c>
      <c r="AK203">
        <v>149</v>
      </c>
      <c r="AL203" t="s">
        <v>924</v>
      </c>
      <c r="AM203">
        <v>1</v>
      </c>
    </row>
    <row r="204" spans="1:40" x14ac:dyDescent="0.25">
      <c r="A204">
        <v>84</v>
      </c>
      <c r="B204">
        <v>59</v>
      </c>
      <c r="C204" t="s">
        <v>435</v>
      </c>
      <c r="D204" s="1">
        <f t="shared" si="10"/>
        <v>323</v>
      </c>
      <c r="E204" s="2">
        <v>60</v>
      </c>
      <c r="F204" s="3">
        <v>15</v>
      </c>
      <c r="G204" s="4">
        <v>40</v>
      </c>
      <c r="H204" s="5">
        <v>80</v>
      </c>
      <c r="I204" s="4">
        <v>73</v>
      </c>
      <c r="J204" s="6">
        <v>55</v>
      </c>
      <c r="K204">
        <v>323</v>
      </c>
      <c r="L204" t="s">
        <v>624</v>
      </c>
      <c r="M204" t="s">
        <v>596</v>
      </c>
      <c r="N204" s="19" t="s">
        <v>665</v>
      </c>
      <c r="O204" s="52" t="s">
        <v>705</v>
      </c>
      <c r="P204" t="s">
        <v>1493</v>
      </c>
      <c r="Q204" t="str">
        <f t="shared" si="11"/>
        <v>Kleinowl</v>
      </c>
      <c r="R204" t="s">
        <v>794</v>
      </c>
      <c r="U204" t="s">
        <v>103</v>
      </c>
      <c r="X204" t="s">
        <v>372</v>
      </c>
      <c r="Z204">
        <v>162</v>
      </c>
      <c r="AA204" t="s">
        <v>800</v>
      </c>
      <c r="AB204">
        <v>19</v>
      </c>
      <c r="AC204" s="35">
        <v>2.0500000000000001E-2</v>
      </c>
      <c r="AD204" s="36">
        <f t="shared" si="12"/>
        <v>0.38950000000000001</v>
      </c>
      <c r="AF204">
        <v>81</v>
      </c>
      <c r="AG204" t="s">
        <v>1616</v>
      </c>
      <c r="AH204">
        <v>6</v>
      </c>
      <c r="AI204" s="35">
        <v>3.5999999999999999E-3</v>
      </c>
      <c r="AK204">
        <v>150</v>
      </c>
      <c r="AL204" t="s">
        <v>1529</v>
      </c>
      <c r="AM204">
        <v>1</v>
      </c>
    </row>
    <row r="205" spans="1:40" x14ac:dyDescent="0.25">
      <c r="A205">
        <v>85</v>
      </c>
      <c r="B205">
        <v>60</v>
      </c>
      <c r="C205" t="s">
        <v>436</v>
      </c>
      <c r="D205" s="1">
        <f t="shared" si="10"/>
        <v>495</v>
      </c>
      <c r="E205" s="2">
        <v>85</v>
      </c>
      <c r="F205" s="3">
        <v>30</v>
      </c>
      <c r="G205" s="4">
        <v>65</v>
      </c>
      <c r="H205" s="5">
        <v>120</v>
      </c>
      <c r="I205" s="4">
        <v>120</v>
      </c>
      <c r="J205" s="6">
        <v>75</v>
      </c>
      <c r="K205">
        <v>495</v>
      </c>
      <c r="L205" t="s">
        <v>624</v>
      </c>
      <c r="M205" t="s">
        <v>629</v>
      </c>
      <c r="N205" s="19" t="s">
        <v>665</v>
      </c>
      <c r="O205" s="11" t="s">
        <v>714</v>
      </c>
      <c r="P205">
        <v>60</v>
      </c>
      <c r="Q205" t="str">
        <f t="shared" si="11"/>
        <v>Hootowl</v>
      </c>
      <c r="U205" s="10" t="s">
        <v>86</v>
      </c>
      <c r="X205" t="s">
        <v>373</v>
      </c>
      <c r="Z205">
        <v>238</v>
      </c>
      <c r="AA205" t="s">
        <v>801</v>
      </c>
      <c r="AB205">
        <v>6</v>
      </c>
      <c r="AC205" s="35">
        <v>6.5000000000000002E-2</v>
      </c>
      <c r="AD205" s="36">
        <f t="shared" si="12"/>
        <v>0.39</v>
      </c>
      <c r="AF205">
        <v>141</v>
      </c>
      <c r="AG205" t="s">
        <v>66</v>
      </c>
      <c r="AH205">
        <v>6</v>
      </c>
      <c r="AI205" s="35">
        <v>3.5999999999999999E-3</v>
      </c>
      <c r="AK205">
        <v>152</v>
      </c>
      <c r="AL205" t="s">
        <v>1339</v>
      </c>
      <c r="AM205">
        <v>1</v>
      </c>
    </row>
    <row r="206" spans="1:40" x14ac:dyDescent="0.25">
      <c r="A206">
        <v>204</v>
      </c>
      <c r="B206">
        <v>61</v>
      </c>
      <c r="C206" t="s">
        <v>437</v>
      </c>
      <c r="D206" s="1">
        <f t="shared" si="10"/>
        <v>435</v>
      </c>
      <c r="E206" s="2">
        <v>90</v>
      </c>
      <c r="F206" s="3">
        <v>64</v>
      </c>
      <c r="G206" s="4">
        <v>67</v>
      </c>
      <c r="H206" s="5">
        <v>85</v>
      </c>
      <c r="I206" s="4">
        <v>71</v>
      </c>
      <c r="J206" s="6">
        <v>58</v>
      </c>
      <c r="K206">
        <v>435</v>
      </c>
      <c r="L206" t="s">
        <v>624</v>
      </c>
      <c r="M206" s="10" t="s">
        <v>625</v>
      </c>
      <c r="N206" s="19" t="s">
        <v>868</v>
      </c>
      <c r="O206" s="51" t="s">
        <v>766</v>
      </c>
      <c r="P206" t="s">
        <v>1494</v>
      </c>
      <c r="Q206" t="str">
        <f t="shared" si="11"/>
        <v>Dualmoose</v>
      </c>
      <c r="U206" s="10" t="s">
        <v>564</v>
      </c>
      <c r="X206" t="s">
        <v>202</v>
      </c>
      <c r="Z206">
        <v>242</v>
      </c>
      <c r="AA206" t="s">
        <v>1118</v>
      </c>
      <c r="AB206">
        <v>6</v>
      </c>
      <c r="AC206" s="35">
        <v>6.5000000000000002E-2</v>
      </c>
      <c r="AD206" s="36">
        <f t="shared" si="12"/>
        <v>0.39</v>
      </c>
      <c r="AF206">
        <v>280</v>
      </c>
      <c r="AG206" t="s">
        <v>1197</v>
      </c>
      <c r="AH206">
        <v>6</v>
      </c>
      <c r="AI206" s="35">
        <v>3.5999999999999999E-3</v>
      </c>
      <c r="AK206">
        <v>153</v>
      </c>
      <c r="AL206" t="s">
        <v>1344</v>
      </c>
      <c r="AM206">
        <v>1</v>
      </c>
    </row>
    <row r="207" spans="1:40" x14ac:dyDescent="0.25">
      <c r="A207">
        <v>162</v>
      </c>
      <c r="B207">
        <v>62</v>
      </c>
      <c r="C207" t="s">
        <v>438</v>
      </c>
      <c r="D207" s="1">
        <f t="shared" si="10"/>
        <v>185</v>
      </c>
      <c r="E207" s="2">
        <v>30</v>
      </c>
      <c r="F207" s="3">
        <v>25</v>
      </c>
      <c r="G207" s="4">
        <v>35</v>
      </c>
      <c r="H207" s="5">
        <v>45</v>
      </c>
      <c r="I207" s="4">
        <v>30</v>
      </c>
      <c r="J207" s="6">
        <v>20</v>
      </c>
      <c r="K207">
        <v>185</v>
      </c>
      <c r="L207" t="s">
        <v>626</v>
      </c>
      <c r="M207" t="s">
        <v>600</v>
      </c>
      <c r="N207" s="19" t="s">
        <v>865</v>
      </c>
      <c r="O207" s="16" t="s">
        <v>851</v>
      </c>
      <c r="P207" s="17">
        <v>62</v>
      </c>
      <c r="Q207" t="str">
        <f t="shared" si="11"/>
        <v>Snom</v>
      </c>
      <c r="R207" t="s">
        <v>788</v>
      </c>
      <c r="U207" t="s">
        <v>563</v>
      </c>
      <c r="X207" s="10" t="s">
        <v>374</v>
      </c>
      <c r="Z207">
        <v>158</v>
      </c>
      <c r="AA207" t="s">
        <v>39</v>
      </c>
      <c r="AB207">
        <v>4</v>
      </c>
      <c r="AC207" s="35">
        <v>9.7500000000000003E-2</v>
      </c>
      <c r="AD207" s="36">
        <f t="shared" si="12"/>
        <v>0.39</v>
      </c>
      <c r="AF207">
        <v>19</v>
      </c>
      <c r="AG207" t="s">
        <v>1580</v>
      </c>
      <c r="AH207">
        <v>7</v>
      </c>
      <c r="AI207" s="35">
        <v>4.1999999999999997E-3</v>
      </c>
      <c r="AK207">
        <v>154</v>
      </c>
      <c r="AL207" t="s">
        <v>1398</v>
      </c>
      <c r="AM207">
        <v>1</v>
      </c>
    </row>
    <row r="208" spans="1:40" x14ac:dyDescent="0.25">
      <c r="A208">
        <v>163</v>
      </c>
      <c r="B208">
        <v>63</v>
      </c>
      <c r="C208" t="s">
        <v>439</v>
      </c>
      <c r="D208" s="1">
        <f t="shared" si="10"/>
        <v>475</v>
      </c>
      <c r="E208" s="2">
        <v>70</v>
      </c>
      <c r="F208" s="3">
        <v>65</v>
      </c>
      <c r="G208" s="4">
        <v>60</v>
      </c>
      <c r="H208" s="5">
        <v>125</v>
      </c>
      <c r="I208" s="4">
        <v>90</v>
      </c>
      <c r="J208" s="6">
        <v>65</v>
      </c>
      <c r="K208">
        <v>475</v>
      </c>
      <c r="L208" t="s">
        <v>626</v>
      </c>
      <c r="M208" t="s">
        <v>643</v>
      </c>
      <c r="N208" s="19" t="s">
        <v>865</v>
      </c>
      <c r="O208" s="10" t="s">
        <v>709</v>
      </c>
      <c r="P208">
        <v>63</v>
      </c>
      <c r="Q208" t="str">
        <f t="shared" si="11"/>
        <v>Frosmoth</v>
      </c>
      <c r="X208" t="s">
        <v>375</v>
      </c>
      <c r="Z208">
        <v>247</v>
      </c>
      <c r="AA208" t="s">
        <v>1125</v>
      </c>
      <c r="AB208">
        <v>3</v>
      </c>
      <c r="AC208" s="35">
        <v>0.1333</v>
      </c>
      <c r="AD208" s="36">
        <f t="shared" si="12"/>
        <v>0.39990000000000003</v>
      </c>
      <c r="AF208">
        <v>39</v>
      </c>
      <c r="AG208" t="s">
        <v>423</v>
      </c>
      <c r="AH208">
        <v>7</v>
      </c>
      <c r="AI208" s="35">
        <v>4.1999999999999997E-3</v>
      </c>
      <c r="AK208">
        <v>155</v>
      </c>
      <c r="AL208" t="s">
        <v>1474</v>
      </c>
      <c r="AM208">
        <v>1</v>
      </c>
    </row>
    <row r="209" spans="1:40" x14ac:dyDescent="0.25">
      <c r="A209">
        <v>205</v>
      </c>
      <c r="B209">
        <v>64</v>
      </c>
      <c r="C209" t="s">
        <v>440</v>
      </c>
      <c r="D209" s="1">
        <f t="shared" si="10"/>
        <v>395</v>
      </c>
      <c r="E209" s="2">
        <v>80</v>
      </c>
      <c r="F209" s="3">
        <v>74</v>
      </c>
      <c r="G209" s="4">
        <v>87</v>
      </c>
      <c r="H209" s="5">
        <v>25</v>
      </c>
      <c r="I209" s="4">
        <v>96</v>
      </c>
      <c r="J209" s="6">
        <v>33</v>
      </c>
      <c r="K209">
        <v>395</v>
      </c>
      <c r="L209" t="s">
        <v>616</v>
      </c>
      <c r="M209" t="s">
        <v>604</v>
      </c>
      <c r="N209" s="19"/>
      <c r="O209" s="31" t="s">
        <v>710</v>
      </c>
      <c r="P209">
        <v>64</v>
      </c>
      <c r="Q209" t="str">
        <f t="shared" si="11"/>
        <v>Grondor</v>
      </c>
      <c r="R209" t="s">
        <v>788</v>
      </c>
      <c r="X209" s="10" t="s">
        <v>376</v>
      </c>
      <c r="Z209">
        <v>205</v>
      </c>
      <c r="AA209" t="s">
        <v>1621</v>
      </c>
      <c r="AB209">
        <v>2</v>
      </c>
      <c r="AC209" s="35">
        <v>0.2</v>
      </c>
      <c r="AD209" s="36">
        <f t="shared" si="12"/>
        <v>0.4</v>
      </c>
      <c r="AF209">
        <v>43</v>
      </c>
      <c r="AG209" t="s">
        <v>1591</v>
      </c>
      <c r="AH209">
        <v>7</v>
      </c>
      <c r="AI209" s="35">
        <v>4.1999999999999997E-3</v>
      </c>
      <c r="AK209">
        <v>156</v>
      </c>
      <c r="AL209" t="s">
        <v>1475</v>
      </c>
      <c r="AM209">
        <v>1</v>
      </c>
    </row>
    <row r="210" spans="1:40" x14ac:dyDescent="0.25">
      <c r="A210">
        <v>206</v>
      </c>
      <c r="B210">
        <v>65</v>
      </c>
      <c r="C210" t="s">
        <v>441</v>
      </c>
      <c r="D210" s="1">
        <f t="shared" ref="D210:D273" si="13">SUM($E210:$J210)</f>
        <v>485</v>
      </c>
      <c r="E210" s="2">
        <v>95</v>
      </c>
      <c r="F210" s="3">
        <v>130</v>
      </c>
      <c r="G210" s="4">
        <v>90</v>
      </c>
      <c r="H210" s="5">
        <v>45</v>
      </c>
      <c r="I210" s="4">
        <v>85</v>
      </c>
      <c r="J210" s="6">
        <v>40</v>
      </c>
      <c r="K210">
        <v>485</v>
      </c>
      <c r="L210" t="s">
        <v>622</v>
      </c>
      <c r="M210" t="s">
        <v>630</v>
      </c>
      <c r="N210" s="19"/>
      <c r="O210" s="16" t="s">
        <v>748</v>
      </c>
      <c r="P210" s="17">
        <v>65</v>
      </c>
      <c r="Q210" t="str">
        <f t="shared" ref="Q210:Q273" si="14">C210</f>
        <v>Bipedice</v>
      </c>
      <c r="X210" s="10" t="s">
        <v>377</v>
      </c>
      <c r="Z210">
        <v>19</v>
      </c>
      <c r="AA210" t="s">
        <v>1580</v>
      </c>
      <c r="AB210">
        <v>4</v>
      </c>
      <c r="AC210" s="35">
        <v>0.10249999999999999</v>
      </c>
      <c r="AD210" s="36">
        <f t="shared" si="12"/>
        <v>0.41</v>
      </c>
      <c r="AF210">
        <v>65</v>
      </c>
      <c r="AG210" t="s">
        <v>1608</v>
      </c>
      <c r="AH210">
        <v>7</v>
      </c>
      <c r="AI210" s="35">
        <v>4.1999999999999997E-3</v>
      </c>
      <c r="AK210">
        <v>157</v>
      </c>
      <c r="AL210" t="s">
        <v>1476</v>
      </c>
      <c r="AM210">
        <v>1</v>
      </c>
    </row>
    <row r="211" spans="1:40" x14ac:dyDescent="0.25">
      <c r="A211">
        <v>207</v>
      </c>
      <c r="B211">
        <v>66</v>
      </c>
      <c r="C211" t="s">
        <v>442</v>
      </c>
      <c r="D211" s="1">
        <f t="shared" si="13"/>
        <v>380</v>
      </c>
      <c r="E211" s="2">
        <v>65</v>
      </c>
      <c r="F211" s="3">
        <v>90</v>
      </c>
      <c r="G211" s="4">
        <v>120</v>
      </c>
      <c r="H211" s="5">
        <v>20</v>
      </c>
      <c r="I211" s="4">
        <v>65</v>
      </c>
      <c r="J211" s="6">
        <v>20</v>
      </c>
      <c r="K211">
        <v>380</v>
      </c>
      <c r="L211" t="s">
        <v>627</v>
      </c>
      <c r="M211" t="s">
        <v>628</v>
      </c>
      <c r="N211" s="19" t="s">
        <v>598</v>
      </c>
      <c r="O211" s="10" t="s">
        <v>712</v>
      </c>
      <c r="P211">
        <v>66</v>
      </c>
      <c r="Q211" t="str">
        <f t="shared" si="14"/>
        <v>Tricerpup</v>
      </c>
      <c r="R211">
        <v>48</v>
      </c>
      <c r="X211" s="10" t="s">
        <v>378</v>
      </c>
      <c r="Z211">
        <v>67</v>
      </c>
      <c r="AA211" t="s">
        <v>1610</v>
      </c>
      <c r="AB211">
        <v>10</v>
      </c>
      <c r="AC211" s="35">
        <v>4.1000000000000002E-2</v>
      </c>
      <c r="AD211" s="36">
        <f t="shared" si="12"/>
        <v>0.41000000000000003</v>
      </c>
      <c r="AF211">
        <v>70</v>
      </c>
      <c r="AG211" t="s">
        <v>446</v>
      </c>
      <c r="AH211">
        <v>7</v>
      </c>
      <c r="AI211" s="35">
        <v>4.1999999999999997E-3</v>
      </c>
      <c r="AK211">
        <v>158</v>
      </c>
      <c r="AL211" t="s">
        <v>1477</v>
      </c>
      <c r="AM211">
        <v>1</v>
      </c>
    </row>
    <row r="212" spans="1:40" x14ac:dyDescent="0.25">
      <c r="A212">
        <v>208</v>
      </c>
      <c r="B212">
        <v>67</v>
      </c>
      <c r="C212" t="s">
        <v>443</v>
      </c>
      <c r="D212" s="1">
        <f t="shared" si="13"/>
        <v>538</v>
      </c>
      <c r="E212" s="2">
        <v>114</v>
      </c>
      <c r="F212" s="3">
        <v>124</v>
      </c>
      <c r="G212" s="4">
        <v>130</v>
      </c>
      <c r="H212" s="5">
        <v>20</v>
      </c>
      <c r="I212" s="4">
        <v>130</v>
      </c>
      <c r="J212" s="6">
        <v>20</v>
      </c>
      <c r="K212">
        <v>538</v>
      </c>
      <c r="L212" t="s">
        <v>627</v>
      </c>
      <c r="M212" t="s">
        <v>628</v>
      </c>
      <c r="N212" s="19" t="s">
        <v>598</v>
      </c>
      <c r="O212" s="54" t="s">
        <v>713</v>
      </c>
      <c r="P212" t="s">
        <v>1495</v>
      </c>
      <c r="Q212" t="str">
        <f t="shared" si="14"/>
        <v>Tricercil</v>
      </c>
      <c r="X212" t="s">
        <v>204</v>
      </c>
      <c r="Z212">
        <v>87</v>
      </c>
      <c r="AA212" t="s">
        <v>463</v>
      </c>
      <c r="AB212">
        <v>10</v>
      </c>
      <c r="AC212" s="35">
        <v>4.1000000000000002E-2</v>
      </c>
      <c r="AD212" s="36">
        <f t="shared" si="12"/>
        <v>0.41000000000000003</v>
      </c>
      <c r="AF212">
        <v>143</v>
      </c>
      <c r="AG212" t="s">
        <v>502</v>
      </c>
      <c r="AH212">
        <v>7</v>
      </c>
      <c r="AI212" s="35">
        <v>4.1999999999999997E-3</v>
      </c>
      <c r="AK212">
        <v>159</v>
      </c>
      <c r="AL212" t="s">
        <v>1478</v>
      </c>
      <c r="AM212">
        <v>1</v>
      </c>
    </row>
    <row r="213" spans="1:40" x14ac:dyDescent="0.25">
      <c r="A213">
        <v>186</v>
      </c>
      <c r="B213">
        <v>68</v>
      </c>
      <c r="C213" t="s">
        <v>444</v>
      </c>
      <c r="D213" s="1">
        <f t="shared" si="13"/>
        <v>290</v>
      </c>
      <c r="E213" s="2">
        <v>70</v>
      </c>
      <c r="F213" s="3">
        <v>40</v>
      </c>
      <c r="G213" s="4">
        <v>50</v>
      </c>
      <c r="H213" s="5">
        <v>55</v>
      </c>
      <c r="I213" s="4">
        <v>50</v>
      </c>
      <c r="J213" s="6">
        <v>25</v>
      </c>
      <c r="K213">
        <v>290</v>
      </c>
      <c r="L213" t="s">
        <v>654</v>
      </c>
      <c r="M213" t="s">
        <v>597</v>
      </c>
      <c r="N213" s="19" t="s">
        <v>629</v>
      </c>
      <c r="O213" s="51" t="s">
        <v>750</v>
      </c>
      <c r="P213" t="s">
        <v>1502</v>
      </c>
      <c r="Q213" t="str">
        <f t="shared" si="14"/>
        <v>Spheal</v>
      </c>
      <c r="R213">
        <v>32</v>
      </c>
      <c r="X213" t="s">
        <v>379</v>
      </c>
      <c r="Z213">
        <v>106</v>
      </c>
      <c r="AA213" t="s">
        <v>99</v>
      </c>
      <c r="AB213">
        <v>3</v>
      </c>
      <c r="AC213" s="35">
        <v>0.13669999999999999</v>
      </c>
      <c r="AD213" s="36">
        <f t="shared" si="12"/>
        <v>0.41009999999999996</v>
      </c>
      <c r="AF213">
        <v>162</v>
      </c>
      <c r="AG213" t="s">
        <v>800</v>
      </c>
      <c r="AH213">
        <v>7</v>
      </c>
      <c r="AI213" s="35">
        <v>4.1999999999999997E-3</v>
      </c>
      <c r="AK213">
        <v>191</v>
      </c>
      <c r="AL213" t="s">
        <v>1236</v>
      </c>
      <c r="AM213">
        <v>1</v>
      </c>
      <c r="AN213" t="s">
        <v>1556</v>
      </c>
    </row>
    <row r="214" spans="1:40" x14ac:dyDescent="0.25">
      <c r="A214">
        <v>187</v>
      </c>
      <c r="B214">
        <v>69</v>
      </c>
      <c r="C214" t="s">
        <v>445</v>
      </c>
      <c r="D214" s="1">
        <f t="shared" si="13"/>
        <v>410</v>
      </c>
      <c r="E214" s="2">
        <v>90</v>
      </c>
      <c r="F214" s="3">
        <v>60</v>
      </c>
      <c r="G214" s="4">
        <v>70</v>
      </c>
      <c r="H214" s="5">
        <v>75</v>
      </c>
      <c r="I214" s="4">
        <v>70</v>
      </c>
      <c r="J214" s="6">
        <v>45</v>
      </c>
      <c r="K214">
        <v>410</v>
      </c>
      <c r="L214" t="s">
        <v>654</v>
      </c>
      <c r="M214" t="s">
        <v>597</v>
      </c>
      <c r="N214" s="19" t="s">
        <v>629</v>
      </c>
      <c r="O214" s="16" t="s">
        <v>749</v>
      </c>
      <c r="P214" s="10">
        <v>69</v>
      </c>
      <c r="Q214" t="str">
        <f t="shared" si="14"/>
        <v>Sealeo</v>
      </c>
      <c r="R214">
        <v>44</v>
      </c>
      <c r="X214" t="s">
        <v>380</v>
      </c>
      <c r="Z214">
        <v>173</v>
      </c>
      <c r="AA214" t="s">
        <v>522</v>
      </c>
      <c r="AB214">
        <v>8</v>
      </c>
      <c r="AC214" s="35">
        <v>5.1299999999999998E-2</v>
      </c>
      <c r="AD214" s="36">
        <f t="shared" si="12"/>
        <v>0.41039999999999999</v>
      </c>
      <c r="AF214">
        <v>204</v>
      </c>
      <c r="AG214" t="s">
        <v>540</v>
      </c>
      <c r="AH214">
        <v>7</v>
      </c>
      <c r="AI214" s="35">
        <v>4.1999999999999997E-3</v>
      </c>
      <c r="AK214">
        <v>195</v>
      </c>
      <c r="AL214" t="s">
        <v>1534</v>
      </c>
      <c r="AM214">
        <v>1</v>
      </c>
    </row>
    <row r="215" spans="1:40" x14ac:dyDescent="0.25">
      <c r="A215">
        <v>188</v>
      </c>
      <c r="B215">
        <v>70</v>
      </c>
      <c r="C215" t="s">
        <v>446</v>
      </c>
      <c r="D215" s="1">
        <f t="shared" si="13"/>
        <v>530</v>
      </c>
      <c r="E215" s="2">
        <v>110</v>
      </c>
      <c r="F215" s="3">
        <v>80</v>
      </c>
      <c r="G215" s="4">
        <v>90</v>
      </c>
      <c r="H215" s="5">
        <v>95</v>
      </c>
      <c r="I215" s="4">
        <v>90</v>
      </c>
      <c r="J215" s="6">
        <v>65</v>
      </c>
      <c r="K215">
        <v>530</v>
      </c>
      <c r="L215" t="s">
        <v>654</v>
      </c>
      <c r="M215" t="s">
        <v>597</v>
      </c>
      <c r="N215" s="19" t="s">
        <v>629</v>
      </c>
      <c r="O215" s="31" t="s">
        <v>711</v>
      </c>
      <c r="P215">
        <v>70</v>
      </c>
      <c r="Q215" t="str">
        <f t="shared" si="14"/>
        <v>Walrein</v>
      </c>
      <c r="X215" s="10" t="s">
        <v>381</v>
      </c>
      <c r="Z215">
        <v>93</v>
      </c>
      <c r="AA215" t="s">
        <v>469</v>
      </c>
      <c r="AB215">
        <v>4</v>
      </c>
      <c r="AC215" s="35">
        <v>0.105</v>
      </c>
      <c r="AD215" s="36">
        <f t="shared" si="12"/>
        <v>0.42</v>
      </c>
      <c r="AF215">
        <v>207</v>
      </c>
      <c r="AG215" t="s">
        <v>1623</v>
      </c>
      <c r="AH215">
        <v>7</v>
      </c>
      <c r="AI215" s="35">
        <v>4.1999999999999997E-3</v>
      </c>
      <c r="AK215">
        <v>197</v>
      </c>
      <c r="AL215" t="s">
        <v>1274</v>
      </c>
      <c r="AM215">
        <v>1</v>
      </c>
    </row>
    <row r="216" spans="1:40" x14ac:dyDescent="0.25">
      <c r="A216">
        <v>81</v>
      </c>
      <c r="B216">
        <v>71</v>
      </c>
      <c r="C216" t="s">
        <v>447</v>
      </c>
      <c r="D216" s="1">
        <f t="shared" si="13"/>
        <v>400</v>
      </c>
      <c r="E216" s="2">
        <v>49</v>
      </c>
      <c r="F216" s="3">
        <v>51</v>
      </c>
      <c r="G216" s="4">
        <v>60</v>
      </c>
      <c r="H216" s="5">
        <v>76</v>
      </c>
      <c r="I216" s="4">
        <v>62</v>
      </c>
      <c r="J216" s="6">
        <v>102</v>
      </c>
      <c r="K216">
        <v>400</v>
      </c>
      <c r="L216" t="s">
        <v>592</v>
      </c>
      <c r="M216" t="s">
        <v>630</v>
      </c>
      <c r="N216" s="19" t="s">
        <v>614</v>
      </c>
      <c r="O216" s="16" t="s">
        <v>751</v>
      </c>
      <c r="P216" s="10">
        <v>71</v>
      </c>
      <c r="Q216" t="str">
        <f t="shared" si="14"/>
        <v>Froshrog</v>
      </c>
      <c r="R216">
        <v>31</v>
      </c>
      <c r="X216" t="s">
        <v>382</v>
      </c>
      <c r="Z216">
        <v>13</v>
      </c>
      <c r="AA216" t="s">
        <v>1575</v>
      </c>
      <c r="AB216">
        <v>3</v>
      </c>
      <c r="AC216" s="35">
        <v>0.14000000000000001</v>
      </c>
      <c r="AD216" s="36">
        <f t="shared" si="12"/>
        <v>0.42000000000000004</v>
      </c>
      <c r="AF216">
        <v>212</v>
      </c>
      <c r="AG216" t="s">
        <v>548</v>
      </c>
      <c r="AH216">
        <v>7</v>
      </c>
      <c r="AI216" s="35">
        <v>4.1999999999999997E-3</v>
      </c>
      <c r="AK216">
        <v>198</v>
      </c>
      <c r="AL216" t="s">
        <v>1275</v>
      </c>
      <c r="AM216">
        <v>1</v>
      </c>
    </row>
    <row r="217" spans="1:40" x14ac:dyDescent="0.25">
      <c r="A217">
        <v>82</v>
      </c>
      <c r="B217">
        <v>72</v>
      </c>
      <c r="C217" s="10" t="s">
        <v>448</v>
      </c>
      <c r="D217" s="1">
        <f t="shared" si="13"/>
        <v>525</v>
      </c>
      <c r="E217" s="2">
        <v>64</v>
      </c>
      <c r="F217" s="3">
        <v>58</v>
      </c>
      <c r="G217" s="4">
        <v>79</v>
      </c>
      <c r="H217" s="5">
        <v>120</v>
      </c>
      <c r="I217" s="4">
        <v>90</v>
      </c>
      <c r="J217" s="6">
        <v>114</v>
      </c>
      <c r="K217">
        <v>525</v>
      </c>
      <c r="L217" t="s">
        <v>592</v>
      </c>
      <c r="M217" t="s">
        <v>630</v>
      </c>
      <c r="N217" s="19" t="s">
        <v>614</v>
      </c>
      <c r="O217" s="16" t="s">
        <v>763</v>
      </c>
      <c r="P217" s="10">
        <v>72</v>
      </c>
      <c r="Q217" t="str">
        <f t="shared" si="14"/>
        <v>Bouncerog</v>
      </c>
      <c r="X217" s="10" t="s">
        <v>206</v>
      </c>
      <c r="Z217">
        <v>123</v>
      </c>
      <c r="AA217" t="s">
        <v>490</v>
      </c>
      <c r="AB217">
        <v>5</v>
      </c>
      <c r="AC217" s="35">
        <v>8.7999999999999995E-2</v>
      </c>
      <c r="AD217" s="36">
        <f t="shared" si="12"/>
        <v>0.43999999999999995</v>
      </c>
      <c r="AF217">
        <v>222</v>
      </c>
      <c r="AG217" t="s">
        <v>799</v>
      </c>
      <c r="AH217">
        <v>7</v>
      </c>
      <c r="AI217" s="35">
        <v>4.1999999999999997E-3</v>
      </c>
      <c r="AK217">
        <v>199</v>
      </c>
      <c r="AL217" t="s">
        <v>1276</v>
      </c>
      <c r="AM217">
        <v>1</v>
      </c>
      <c r="AN217" t="s">
        <v>1556</v>
      </c>
    </row>
    <row r="218" spans="1:40" x14ac:dyDescent="0.25">
      <c r="A218">
        <v>94</v>
      </c>
      <c r="B218">
        <v>73</v>
      </c>
      <c r="C218" t="s">
        <v>449</v>
      </c>
      <c r="D218" s="1">
        <f t="shared" si="13"/>
        <v>299</v>
      </c>
      <c r="E218" s="2">
        <v>52</v>
      </c>
      <c r="F218" s="3">
        <v>59</v>
      </c>
      <c r="G218" s="4">
        <v>51</v>
      </c>
      <c r="H218" s="5">
        <v>33</v>
      </c>
      <c r="I218" s="4">
        <v>46</v>
      </c>
      <c r="J218" s="6">
        <v>58</v>
      </c>
      <c r="K218">
        <v>299</v>
      </c>
      <c r="L218" t="s">
        <v>604</v>
      </c>
      <c r="M218" t="s">
        <v>678</v>
      </c>
      <c r="N218" s="19" t="s">
        <v>1145</v>
      </c>
      <c r="O218" s="16" t="s">
        <v>752</v>
      </c>
      <c r="P218" s="10">
        <v>73</v>
      </c>
      <c r="Q218" t="str">
        <f t="shared" si="14"/>
        <v>Bugop</v>
      </c>
      <c r="R218">
        <v>30</v>
      </c>
      <c r="X218" s="10" t="s">
        <v>383</v>
      </c>
      <c r="Y218" t="s">
        <v>91</v>
      </c>
      <c r="Z218">
        <v>277</v>
      </c>
      <c r="AA218" t="s">
        <v>1162</v>
      </c>
      <c r="AB218">
        <v>10</v>
      </c>
      <c r="AC218" s="35">
        <v>4.4999999999999998E-2</v>
      </c>
      <c r="AD218" s="36">
        <f t="shared" si="12"/>
        <v>0.44999999999999996</v>
      </c>
      <c r="AF218">
        <v>271</v>
      </c>
      <c r="AG218" t="s">
        <v>1156</v>
      </c>
      <c r="AH218">
        <v>7</v>
      </c>
      <c r="AI218" s="35">
        <v>4.1999999999999997E-3</v>
      </c>
      <c r="AK218">
        <v>200</v>
      </c>
      <c r="AL218" t="s">
        <v>1277</v>
      </c>
      <c r="AM218">
        <v>1</v>
      </c>
      <c r="AN218" t="s">
        <v>1557</v>
      </c>
    </row>
    <row r="219" spans="1:40" x14ac:dyDescent="0.25">
      <c r="A219">
        <v>95</v>
      </c>
      <c r="B219">
        <v>74</v>
      </c>
      <c r="C219" t="s">
        <v>450</v>
      </c>
      <c r="D219" s="1">
        <f t="shared" si="13"/>
        <v>507</v>
      </c>
      <c r="E219" s="2">
        <v>88</v>
      </c>
      <c r="F219" s="3">
        <v>102</v>
      </c>
      <c r="G219" s="4">
        <v>67</v>
      </c>
      <c r="H219" s="5">
        <v>61</v>
      </c>
      <c r="I219" s="4">
        <v>88</v>
      </c>
      <c r="J219" s="6">
        <v>101</v>
      </c>
      <c r="K219">
        <v>507</v>
      </c>
      <c r="L219" t="s">
        <v>604</v>
      </c>
      <c r="M219" t="s">
        <v>678</v>
      </c>
      <c r="N219" s="19" t="s">
        <v>1145</v>
      </c>
      <c r="O219" s="10" t="s">
        <v>692</v>
      </c>
      <c r="P219" s="10">
        <v>74</v>
      </c>
      <c r="Q219" t="str">
        <f t="shared" si="14"/>
        <v>Opwing</v>
      </c>
      <c r="X219" s="10" t="s">
        <v>384</v>
      </c>
      <c r="Y219" t="s">
        <v>577</v>
      </c>
      <c r="Z219">
        <v>202</v>
      </c>
      <c r="AA219" t="s">
        <v>538</v>
      </c>
      <c r="AB219">
        <v>3</v>
      </c>
      <c r="AC219" s="35">
        <v>0.15</v>
      </c>
      <c r="AD219" s="36">
        <f t="shared" si="12"/>
        <v>0.44999999999999996</v>
      </c>
      <c r="AF219">
        <v>296</v>
      </c>
      <c r="AG219" t="s">
        <v>1196</v>
      </c>
      <c r="AH219">
        <v>7</v>
      </c>
      <c r="AI219" s="35">
        <v>4.1999999999999997E-3</v>
      </c>
      <c r="AK219">
        <v>201</v>
      </c>
      <c r="AL219" t="s">
        <v>1278</v>
      </c>
      <c r="AM219">
        <v>1</v>
      </c>
      <c r="AN219" t="s">
        <v>1557</v>
      </c>
    </row>
    <row r="220" spans="1:40" x14ac:dyDescent="0.25">
      <c r="A220">
        <v>49</v>
      </c>
      <c r="B220">
        <v>75</v>
      </c>
      <c r="C220" t="s">
        <v>451</v>
      </c>
      <c r="D220" s="1">
        <f t="shared" si="13"/>
        <v>265</v>
      </c>
      <c r="E220" s="2">
        <v>42</v>
      </c>
      <c r="F220" s="3">
        <v>30</v>
      </c>
      <c r="G220" s="4">
        <v>45</v>
      </c>
      <c r="H220" s="5">
        <v>56</v>
      </c>
      <c r="I220" s="4">
        <v>53</v>
      </c>
      <c r="J220" s="6">
        <v>39</v>
      </c>
      <c r="K220">
        <v>265</v>
      </c>
      <c r="L220" t="s">
        <v>631</v>
      </c>
      <c r="M220" t="s">
        <v>602</v>
      </c>
      <c r="N220" s="19" t="s">
        <v>1146</v>
      </c>
      <c r="O220" s="10" t="s">
        <v>693</v>
      </c>
      <c r="P220" s="10">
        <v>75</v>
      </c>
      <c r="Q220" t="str">
        <f t="shared" si="14"/>
        <v>Hatenna</v>
      </c>
      <c r="R220">
        <v>32</v>
      </c>
      <c r="X220" t="s">
        <v>385</v>
      </c>
      <c r="Z220">
        <v>226</v>
      </c>
      <c r="AA220" t="s">
        <v>561</v>
      </c>
      <c r="AB220">
        <v>3</v>
      </c>
      <c r="AC220" s="35">
        <v>0.15</v>
      </c>
      <c r="AD220" s="36">
        <f t="shared" si="12"/>
        <v>0.44999999999999996</v>
      </c>
      <c r="AF220">
        <v>18</v>
      </c>
      <c r="AG220" t="s">
        <v>1579</v>
      </c>
      <c r="AH220">
        <v>8</v>
      </c>
      <c r="AI220" s="35">
        <v>4.7999999999999996E-3</v>
      </c>
      <c r="AK220">
        <v>202</v>
      </c>
      <c r="AL220" t="s">
        <v>1279</v>
      </c>
      <c r="AM220">
        <v>1</v>
      </c>
    </row>
    <row r="221" spans="1:40" x14ac:dyDescent="0.25">
      <c r="A221">
        <v>50</v>
      </c>
      <c r="B221">
        <v>76</v>
      </c>
      <c r="C221" t="s">
        <v>452</v>
      </c>
      <c r="D221" s="1">
        <f t="shared" si="13"/>
        <v>370</v>
      </c>
      <c r="E221" s="2">
        <v>57</v>
      </c>
      <c r="F221" s="3">
        <v>40</v>
      </c>
      <c r="G221" s="4">
        <v>65</v>
      </c>
      <c r="H221" s="5">
        <v>86</v>
      </c>
      <c r="I221" s="4">
        <v>73</v>
      </c>
      <c r="J221" s="6">
        <v>49</v>
      </c>
      <c r="K221">
        <v>370</v>
      </c>
      <c r="L221" t="s">
        <v>868</v>
      </c>
      <c r="M221" t="s">
        <v>602</v>
      </c>
      <c r="N221" s="19" t="s">
        <v>1146</v>
      </c>
      <c r="O221" s="10" t="s">
        <v>852</v>
      </c>
      <c r="P221" s="10">
        <v>76</v>
      </c>
      <c r="Q221" t="str">
        <f t="shared" si="14"/>
        <v>Hattrem</v>
      </c>
      <c r="R221">
        <v>42</v>
      </c>
      <c r="X221" t="s">
        <v>208</v>
      </c>
      <c r="Z221">
        <v>81</v>
      </c>
      <c r="AA221" t="s">
        <v>1616</v>
      </c>
      <c r="AB221">
        <v>9</v>
      </c>
      <c r="AC221" s="35">
        <v>0.05</v>
      </c>
      <c r="AD221" s="36">
        <f t="shared" si="12"/>
        <v>0.45</v>
      </c>
      <c r="AF221">
        <v>24</v>
      </c>
      <c r="AG221" t="s">
        <v>1585</v>
      </c>
      <c r="AH221">
        <v>8</v>
      </c>
      <c r="AI221" s="35">
        <v>4.7999999999999996E-3</v>
      </c>
      <c r="AK221">
        <v>203</v>
      </c>
      <c r="AL221" t="s">
        <v>1422</v>
      </c>
      <c r="AM221">
        <v>1</v>
      </c>
      <c r="AN221" t="s">
        <v>1557</v>
      </c>
    </row>
    <row r="222" spans="1:40" x14ac:dyDescent="0.25">
      <c r="A222">
        <v>51</v>
      </c>
      <c r="B222">
        <v>77</v>
      </c>
      <c r="C222" t="s">
        <v>453</v>
      </c>
      <c r="D222" s="1">
        <f t="shared" si="13"/>
        <v>510</v>
      </c>
      <c r="E222" s="2">
        <v>82</v>
      </c>
      <c r="F222" s="3">
        <v>65</v>
      </c>
      <c r="G222" s="4">
        <v>95</v>
      </c>
      <c r="H222" s="5">
        <v>136</v>
      </c>
      <c r="I222" s="4">
        <v>103</v>
      </c>
      <c r="J222" s="6">
        <v>29</v>
      </c>
      <c r="K222">
        <v>510</v>
      </c>
      <c r="L222" t="s">
        <v>868</v>
      </c>
      <c r="M222" t="s">
        <v>602</v>
      </c>
      <c r="N222" s="19" t="s">
        <v>1146</v>
      </c>
      <c r="O222" s="10" t="s">
        <v>694</v>
      </c>
      <c r="P222" s="10">
        <v>77</v>
      </c>
      <c r="Q222" t="str">
        <f t="shared" si="14"/>
        <v>Hatterene</v>
      </c>
      <c r="X222" s="10" t="s">
        <v>386</v>
      </c>
      <c r="Z222">
        <v>73</v>
      </c>
      <c r="AA222" t="s">
        <v>1611</v>
      </c>
      <c r="AB222">
        <v>4</v>
      </c>
      <c r="AC222" s="35">
        <v>0.1125</v>
      </c>
      <c r="AD222" s="36">
        <f t="shared" ref="AD222:AD285" si="15">AC222*AB222</f>
        <v>0.45</v>
      </c>
      <c r="AF222">
        <v>27</v>
      </c>
      <c r="AG222" t="s">
        <v>1587</v>
      </c>
      <c r="AH222">
        <v>8</v>
      </c>
      <c r="AI222" s="35">
        <v>4.7999999999999996E-3</v>
      </c>
      <c r="AK222">
        <v>207</v>
      </c>
      <c r="AL222" t="s">
        <v>1280</v>
      </c>
      <c r="AM222">
        <v>1</v>
      </c>
    </row>
    <row r="223" spans="1:40" x14ac:dyDescent="0.25">
      <c r="A223">
        <v>189</v>
      </c>
      <c r="B223">
        <v>78</v>
      </c>
      <c r="C223" t="s">
        <v>454</v>
      </c>
      <c r="D223" s="1">
        <f t="shared" si="13"/>
        <v>333</v>
      </c>
      <c r="E223" s="2">
        <v>55</v>
      </c>
      <c r="F223" s="3">
        <v>39</v>
      </c>
      <c r="G223" s="4">
        <v>66</v>
      </c>
      <c r="H223" s="5">
        <v>74</v>
      </c>
      <c r="I223" s="4">
        <v>79</v>
      </c>
      <c r="J223" s="6">
        <v>20</v>
      </c>
      <c r="K223">
        <v>333</v>
      </c>
      <c r="L223" t="s">
        <v>632</v>
      </c>
      <c r="M223" t="s">
        <v>631</v>
      </c>
      <c r="N223" s="19" t="s">
        <v>1142</v>
      </c>
      <c r="O223" s="16" t="s">
        <v>753</v>
      </c>
      <c r="P223" s="10">
        <v>78</v>
      </c>
      <c r="Q223" t="str">
        <f t="shared" si="14"/>
        <v>Otterpor</v>
      </c>
      <c r="R223">
        <v>30</v>
      </c>
      <c r="X223" s="10" t="s">
        <v>387</v>
      </c>
      <c r="Y223" t="s">
        <v>572</v>
      </c>
      <c r="Z223">
        <v>80</v>
      </c>
      <c r="AA223" t="s">
        <v>1615</v>
      </c>
      <c r="AB223">
        <v>5</v>
      </c>
      <c r="AC223" s="35">
        <v>9.1999999999999998E-2</v>
      </c>
      <c r="AD223" s="36">
        <f t="shared" si="15"/>
        <v>0.45999999999999996</v>
      </c>
      <c r="AF223">
        <v>54</v>
      </c>
      <c r="AG223" t="s">
        <v>1599</v>
      </c>
      <c r="AH223">
        <v>8</v>
      </c>
      <c r="AI223" s="35">
        <v>4.7999999999999996E-3</v>
      </c>
      <c r="AK223">
        <v>210</v>
      </c>
      <c r="AL223" t="s">
        <v>1281</v>
      </c>
      <c r="AM223">
        <v>1</v>
      </c>
      <c r="AN223" t="s">
        <v>1556</v>
      </c>
    </row>
    <row r="224" spans="1:40" x14ac:dyDescent="0.25">
      <c r="A224">
        <v>190</v>
      </c>
      <c r="B224">
        <v>79</v>
      </c>
      <c r="C224" t="s">
        <v>455</v>
      </c>
      <c r="D224" s="1">
        <f t="shared" si="13"/>
        <v>500</v>
      </c>
      <c r="E224" s="2">
        <v>71</v>
      </c>
      <c r="F224" s="3">
        <v>48</v>
      </c>
      <c r="G224" s="4">
        <v>87</v>
      </c>
      <c r="H224" s="5">
        <v>102</v>
      </c>
      <c r="I224" s="4">
        <v>106</v>
      </c>
      <c r="J224" s="6">
        <v>86</v>
      </c>
      <c r="K224">
        <v>500</v>
      </c>
      <c r="L224" t="s">
        <v>632</v>
      </c>
      <c r="M224" t="s">
        <v>614</v>
      </c>
      <c r="N224" s="19" t="s">
        <v>1142</v>
      </c>
      <c r="O224" s="10" t="s">
        <v>695</v>
      </c>
      <c r="P224" s="10">
        <v>79</v>
      </c>
      <c r="Q224" t="str">
        <f t="shared" si="14"/>
        <v>Psylotter</v>
      </c>
      <c r="X224" t="s">
        <v>210</v>
      </c>
      <c r="Z224">
        <v>278</v>
      </c>
      <c r="AA224" t="s">
        <v>1172</v>
      </c>
      <c r="AB224">
        <v>7</v>
      </c>
      <c r="AC224" s="35">
        <v>6.7100000000000007E-2</v>
      </c>
      <c r="AD224" s="36">
        <f t="shared" si="15"/>
        <v>0.46970000000000006</v>
      </c>
      <c r="AF224">
        <v>67</v>
      </c>
      <c r="AG224" t="s">
        <v>1610</v>
      </c>
      <c r="AH224">
        <v>8</v>
      </c>
      <c r="AI224" s="35">
        <v>4.7999999999999996E-3</v>
      </c>
      <c r="AK224">
        <v>211</v>
      </c>
      <c r="AL224" t="s">
        <v>1428</v>
      </c>
      <c r="AM224">
        <v>1</v>
      </c>
      <c r="AN224" t="s">
        <v>1557</v>
      </c>
    </row>
    <row r="225" spans="1:40" x14ac:dyDescent="0.25">
      <c r="A225">
        <v>178</v>
      </c>
      <c r="B225">
        <v>80</v>
      </c>
      <c r="C225" t="s">
        <v>456</v>
      </c>
      <c r="D225" s="1">
        <f t="shared" si="13"/>
        <v>340</v>
      </c>
      <c r="E225" s="2">
        <v>43</v>
      </c>
      <c r="F225" s="3">
        <v>43</v>
      </c>
      <c r="G225" s="4">
        <v>43</v>
      </c>
      <c r="H225" s="5">
        <v>88</v>
      </c>
      <c r="I225" s="4">
        <v>80</v>
      </c>
      <c r="J225" s="6">
        <v>43</v>
      </c>
      <c r="K225">
        <v>340</v>
      </c>
      <c r="L225" s="10" t="s">
        <v>634</v>
      </c>
      <c r="M225" s="10" t="s">
        <v>618</v>
      </c>
      <c r="N225" s="19" t="s">
        <v>1120</v>
      </c>
      <c r="O225" s="10" t="s">
        <v>696</v>
      </c>
      <c r="P225" s="10">
        <v>80</v>
      </c>
      <c r="Q225" t="str">
        <f t="shared" si="14"/>
        <v>Florline</v>
      </c>
      <c r="R225">
        <v>40</v>
      </c>
      <c r="X225" s="10" t="s">
        <v>388</v>
      </c>
      <c r="Z225">
        <v>104</v>
      </c>
      <c r="AA225" t="s">
        <v>478</v>
      </c>
      <c r="AB225">
        <v>3</v>
      </c>
      <c r="AC225" s="35">
        <v>0.15670000000000001</v>
      </c>
      <c r="AD225" s="36">
        <f t="shared" si="15"/>
        <v>0.47010000000000002</v>
      </c>
      <c r="AF225">
        <v>93</v>
      </c>
      <c r="AG225" t="s">
        <v>469</v>
      </c>
      <c r="AH225">
        <v>8</v>
      </c>
      <c r="AI225" s="35">
        <v>4.7999999999999996E-3</v>
      </c>
      <c r="AK225">
        <v>212</v>
      </c>
      <c r="AL225" t="s">
        <v>1282</v>
      </c>
      <c r="AM225">
        <v>1</v>
      </c>
      <c r="AN225" t="s">
        <v>1557</v>
      </c>
    </row>
    <row r="226" spans="1:40" x14ac:dyDescent="0.25">
      <c r="A226">
        <v>179</v>
      </c>
      <c r="B226">
        <v>81</v>
      </c>
      <c r="C226" t="s">
        <v>457</v>
      </c>
      <c r="D226" s="1">
        <f t="shared" si="13"/>
        <v>519</v>
      </c>
      <c r="E226" s="2">
        <v>67</v>
      </c>
      <c r="F226" s="3">
        <v>72</v>
      </c>
      <c r="G226" s="4">
        <v>87</v>
      </c>
      <c r="H226" s="5">
        <v>96</v>
      </c>
      <c r="I226" s="4">
        <v>93</v>
      </c>
      <c r="J226" s="6">
        <v>104</v>
      </c>
      <c r="K226">
        <v>519</v>
      </c>
      <c r="L226" s="10" t="s">
        <v>634</v>
      </c>
      <c r="M226" s="10" t="s">
        <v>618</v>
      </c>
      <c r="N226" s="19" t="s">
        <v>1120</v>
      </c>
      <c r="O226" s="10" t="s">
        <v>697</v>
      </c>
      <c r="P226" s="10">
        <v>81</v>
      </c>
      <c r="Q226" t="str">
        <f t="shared" si="14"/>
        <v>Florlion</v>
      </c>
      <c r="X226" s="10" t="s">
        <v>212</v>
      </c>
      <c r="Z226">
        <v>186</v>
      </c>
      <c r="AA226" t="s">
        <v>103</v>
      </c>
      <c r="AB226">
        <v>11</v>
      </c>
      <c r="AC226" s="35">
        <v>4.36E-2</v>
      </c>
      <c r="AD226" s="36">
        <f t="shared" si="15"/>
        <v>0.47960000000000003</v>
      </c>
      <c r="AF226">
        <v>103</v>
      </c>
      <c r="AG226" t="s">
        <v>477</v>
      </c>
      <c r="AH226">
        <v>8</v>
      </c>
      <c r="AI226" s="35">
        <v>4.7999999999999996E-3</v>
      </c>
      <c r="AK226">
        <v>213</v>
      </c>
      <c r="AL226" t="s">
        <v>1283</v>
      </c>
      <c r="AM226">
        <v>1</v>
      </c>
    </row>
    <row r="227" spans="1:40" x14ac:dyDescent="0.25">
      <c r="A227">
        <v>132</v>
      </c>
      <c r="B227">
        <v>82</v>
      </c>
      <c r="C227" t="s">
        <v>458</v>
      </c>
      <c r="D227" s="1">
        <f t="shared" si="13"/>
        <v>250</v>
      </c>
      <c r="E227" s="2">
        <v>25</v>
      </c>
      <c r="F227" s="3">
        <v>20</v>
      </c>
      <c r="G227" s="4">
        <v>63</v>
      </c>
      <c r="H227" s="5">
        <v>55</v>
      </c>
      <c r="I227" s="4">
        <v>62</v>
      </c>
      <c r="J227" s="6">
        <v>25</v>
      </c>
      <c r="K227">
        <v>250</v>
      </c>
      <c r="L227" s="10" t="s">
        <v>618</v>
      </c>
      <c r="M227" t="s">
        <v>607</v>
      </c>
      <c r="N227" s="19" t="s">
        <v>1094</v>
      </c>
      <c r="O227" s="10" t="s">
        <v>698</v>
      </c>
      <c r="P227" s="10">
        <v>82</v>
      </c>
      <c r="Q227" t="str">
        <f t="shared" si="14"/>
        <v>Psycorb</v>
      </c>
      <c r="R227">
        <v>32</v>
      </c>
      <c r="Z227">
        <v>70</v>
      </c>
      <c r="AA227" t="s">
        <v>446</v>
      </c>
      <c r="AB227">
        <v>9</v>
      </c>
      <c r="AC227" s="35">
        <v>5.33E-2</v>
      </c>
      <c r="AD227" s="36">
        <f t="shared" si="15"/>
        <v>0.47970000000000002</v>
      </c>
      <c r="AF227">
        <v>157</v>
      </c>
      <c r="AG227" t="s">
        <v>38</v>
      </c>
      <c r="AH227">
        <v>8</v>
      </c>
      <c r="AI227" s="35">
        <v>4.7999999999999996E-3</v>
      </c>
      <c r="AK227">
        <v>218</v>
      </c>
      <c r="AL227" t="s">
        <v>1284</v>
      </c>
      <c r="AM227">
        <v>1</v>
      </c>
    </row>
    <row r="228" spans="1:40" x14ac:dyDescent="0.25">
      <c r="A228">
        <v>133</v>
      </c>
      <c r="B228">
        <v>83</v>
      </c>
      <c r="C228" t="s">
        <v>459</v>
      </c>
      <c r="D228" s="1">
        <f t="shared" si="13"/>
        <v>400</v>
      </c>
      <c r="E228" s="2">
        <v>50</v>
      </c>
      <c r="F228" s="3">
        <v>70</v>
      </c>
      <c r="G228" s="4">
        <v>90</v>
      </c>
      <c r="H228" s="5">
        <v>70</v>
      </c>
      <c r="I228" s="4">
        <v>90</v>
      </c>
      <c r="J228" s="6">
        <v>30</v>
      </c>
      <c r="K228">
        <v>400</v>
      </c>
      <c r="L228" s="10" t="s">
        <v>618</v>
      </c>
      <c r="M228" t="s">
        <v>607</v>
      </c>
      <c r="N228" s="19" t="s">
        <v>1094</v>
      </c>
      <c r="O228" s="16" t="s">
        <v>754</v>
      </c>
      <c r="P228" s="10">
        <v>83</v>
      </c>
      <c r="Q228" t="str">
        <f t="shared" si="14"/>
        <v>Psyballs</v>
      </c>
      <c r="R228">
        <v>52</v>
      </c>
      <c r="T228" t="s">
        <v>873</v>
      </c>
      <c r="Z228">
        <v>57</v>
      </c>
      <c r="AA228" t="s">
        <v>1602</v>
      </c>
      <c r="AB228">
        <v>5</v>
      </c>
      <c r="AC228" s="35">
        <v>9.6000000000000002E-2</v>
      </c>
      <c r="AD228" s="36">
        <f t="shared" si="15"/>
        <v>0.48</v>
      </c>
      <c r="AF228">
        <v>189</v>
      </c>
      <c r="AG228" t="s">
        <v>97</v>
      </c>
      <c r="AH228">
        <v>8</v>
      </c>
      <c r="AI228" s="35">
        <v>4.7999999999999996E-3</v>
      </c>
      <c r="AK228">
        <v>219</v>
      </c>
      <c r="AL228" t="s">
        <v>1285</v>
      </c>
      <c r="AM228">
        <v>1</v>
      </c>
    </row>
    <row r="229" spans="1:40" x14ac:dyDescent="0.25">
      <c r="A229">
        <v>134</v>
      </c>
      <c r="B229">
        <v>84</v>
      </c>
      <c r="C229" t="s">
        <v>460</v>
      </c>
      <c r="D229" s="1">
        <f t="shared" si="13"/>
        <v>550</v>
      </c>
      <c r="E229" s="2">
        <v>100</v>
      </c>
      <c r="F229" s="3">
        <v>140</v>
      </c>
      <c r="G229" s="4">
        <v>100</v>
      </c>
      <c r="H229" s="5">
        <v>70</v>
      </c>
      <c r="I229" s="4">
        <v>100</v>
      </c>
      <c r="J229" s="6">
        <v>40</v>
      </c>
      <c r="K229">
        <v>550</v>
      </c>
      <c r="L229" s="10" t="s">
        <v>618</v>
      </c>
      <c r="M229" t="s">
        <v>607</v>
      </c>
      <c r="N229" s="19" t="s">
        <v>1094</v>
      </c>
      <c r="O229" s="16" t="s">
        <v>755</v>
      </c>
      <c r="P229" s="17">
        <v>84</v>
      </c>
      <c r="Q229" t="str">
        <f t="shared" si="14"/>
        <v>Psycorbrator</v>
      </c>
      <c r="T229">
        <v>47</v>
      </c>
      <c r="U229" t="s">
        <v>870</v>
      </c>
      <c r="V229" t="s">
        <v>871</v>
      </c>
      <c r="W229" t="s">
        <v>872</v>
      </c>
      <c r="X229" t="s">
        <v>967</v>
      </c>
      <c r="Y229" t="s">
        <v>965</v>
      </c>
      <c r="Z229">
        <v>59</v>
      </c>
      <c r="AA229" t="s">
        <v>1604</v>
      </c>
      <c r="AB229">
        <v>4</v>
      </c>
      <c r="AC229" s="35">
        <v>0.12</v>
      </c>
      <c r="AD229" s="36">
        <f t="shared" si="15"/>
        <v>0.48</v>
      </c>
      <c r="AF229">
        <v>260</v>
      </c>
      <c r="AG229" t="s">
        <v>1138</v>
      </c>
      <c r="AH229">
        <v>8</v>
      </c>
      <c r="AI229" s="35">
        <v>4.7999999999999996E-3</v>
      </c>
      <c r="AK229">
        <v>220</v>
      </c>
      <c r="AL229" t="s">
        <v>1286</v>
      </c>
      <c r="AM229">
        <v>1</v>
      </c>
    </row>
    <row r="230" spans="1:40" x14ac:dyDescent="0.25">
      <c r="A230">
        <v>63</v>
      </c>
      <c r="B230">
        <v>85</v>
      </c>
      <c r="C230" t="s">
        <v>461</v>
      </c>
      <c r="D230" s="1">
        <f t="shared" si="13"/>
        <v>198</v>
      </c>
      <c r="E230" s="2">
        <v>28</v>
      </c>
      <c r="F230" s="3">
        <v>25</v>
      </c>
      <c r="G230" s="4">
        <v>25</v>
      </c>
      <c r="H230" s="5">
        <v>45</v>
      </c>
      <c r="I230" s="4">
        <v>35</v>
      </c>
      <c r="J230" s="6">
        <v>40</v>
      </c>
      <c r="K230">
        <v>198</v>
      </c>
      <c r="L230" t="s">
        <v>619</v>
      </c>
      <c r="M230" t="s">
        <v>1094</v>
      </c>
      <c r="N230" s="19" t="s">
        <v>1144</v>
      </c>
      <c r="O230" s="51" t="s">
        <v>756</v>
      </c>
      <c r="P230" t="s">
        <v>1496</v>
      </c>
      <c r="Q230" t="str">
        <f t="shared" si="14"/>
        <v>Ralts</v>
      </c>
      <c r="R230">
        <v>18</v>
      </c>
      <c r="T230">
        <v>48</v>
      </c>
      <c r="U230" s="16" t="s">
        <v>878</v>
      </c>
      <c r="W230" s="30" t="s">
        <v>1009</v>
      </c>
      <c r="Y230" t="s">
        <v>977</v>
      </c>
      <c r="Z230">
        <v>176</v>
      </c>
      <c r="AA230" t="s">
        <v>571</v>
      </c>
      <c r="AB230">
        <v>7</v>
      </c>
      <c r="AC230" s="35">
        <v>6.8599999999999994E-2</v>
      </c>
      <c r="AD230" s="36">
        <f t="shared" si="15"/>
        <v>0.48019999999999996</v>
      </c>
      <c r="AF230">
        <v>283</v>
      </c>
      <c r="AG230" t="s">
        <v>1198</v>
      </c>
      <c r="AH230">
        <v>8</v>
      </c>
      <c r="AI230" s="35">
        <v>4.7999999999999996E-3</v>
      </c>
      <c r="AK230">
        <v>221</v>
      </c>
      <c r="AL230" t="s">
        <v>1287</v>
      </c>
      <c r="AM230">
        <v>1</v>
      </c>
    </row>
    <row r="231" spans="1:40" x14ac:dyDescent="0.25">
      <c r="A231">
        <v>64</v>
      </c>
      <c r="B231">
        <v>86</v>
      </c>
      <c r="C231" t="s">
        <v>462</v>
      </c>
      <c r="D231" s="1">
        <f t="shared" si="13"/>
        <v>278</v>
      </c>
      <c r="E231" s="2">
        <v>38</v>
      </c>
      <c r="F231" s="3">
        <v>35</v>
      </c>
      <c r="G231" s="4">
        <v>35</v>
      </c>
      <c r="H231" s="5">
        <v>65</v>
      </c>
      <c r="I231" s="4">
        <v>55</v>
      </c>
      <c r="J231" s="6">
        <v>50</v>
      </c>
      <c r="K231">
        <v>278</v>
      </c>
      <c r="L231" t="s">
        <v>619</v>
      </c>
      <c r="M231" t="s">
        <v>1094</v>
      </c>
      <c r="N231" s="19" t="s">
        <v>1144</v>
      </c>
      <c r="O231" s="16" t="s">
        <v>757</v>
      </c>
      <c r="P231" s="10">
        <v>86</v>
      </c>
      <c r="Q231" t="str">
        <f t="shared" si="14"/>
        <v>Kirlia</v>
      </c>
      <c r="R231">
        <v>30</v>
      </c>
      <c r="T231">
        <v>49</v>
      </c>
      <c r="U231" s="16" t="s">
        <v>879</v>
      </c>
      <c r="W231" s="31" t="s">
        <v>1008</v>
      </c>
      <c r="Y231" t="s">
        <v>976</v>
      </c>
      <c r="Z231">
        <v>254</v>
      </c>
      <c r="AA231" t="s">
        <v>1132</v>
      </c>
      <c r="AB231">
        <v>7</v>
      </c>
      <c r="AC231" s="35">
        <v>7.1400000000000005E-2</v>
      </c>
      <c r="AD231" s="36">
        <f t="shared" si="15"/>
        <v>0.49980000000000002</v>
      </c>
      <c r="AF231">
        <v>15</v>
      </c>
      <c r="AG231" t="s">
        <v>1577</v>
      </c>
      <c r="AH231">
        <v>9</v>
      </c>
      <c r="AI231" s="35">
        <v>5.4000000000000003E-3</v>
      </c>
      <c r="AK231">
        <v>222</v>
      </c>
      <c r="AL231" t="s">
        <v>1288</v>
      </c>
      <c r="AM231">
        <v>1</v>
      </c>
    </row>
    <row r="232" spans="1:40" x14ac:dyDescent="0.25">
      <c r="A232">
        <v>65</v>
      </c>
      <c r="B232">
        <v>87</v>
      </c>
      <c r="C232" t="s">
        <v>463</v>
      </c>
      <c r="D232" s="1">
        <f t="shared" si="13"/>
        <v>518</v>
      </c>
      <c r="E232" s="2">
        <v>68</v>
      </c>
      <c r="F232" s="3">
        <v>65</v>
      </c>
      <c r="G232" s="4">
        <v>65</v>
      </c>
      <c r="H232" s="5">
        <v>125</v>
      </c>
      <c r="I232" s="4">
        <v>115</v>
      </c>
      <c r="J232" s="6">
        <v>80</v>
      </c>
      <c r="K232">
        <v>518</v>
      </c>
      <c r="L232" t="s">
        <v>869</v>
      </c>
      <c r="M232" t="s">
        <v>1094</v>
      </c>
      <c r="N232" s="19" t="s">
        <v>1144</v>
      </c>
      <c r="O232" s="16" t="s">
        <v>758</v>
      </c>
      <c r="P232" s="17">
        <v>87</v>
      </c>
      <c r="Q232" t="str">
        <f t="shared" si="14"/>
        <v>Gardevoir</v>
      </c>
      <c r="T232">
        <v>50</v>
      </c>
      <c r="U232" t="s">
        <v>880</v>
      </c>
      <c r="W232" t="s">
        <v>1009</v>
      </c>
      <c r="Y232" t="s">
        <v>975</v>
      </c>
      <c r="Z232">
        <v>257</v>
      </c>
      <c r="AA232" t="s">
        <v>1135</v>
      </c>
      <c r="AB232">
        <v>6</v>
      </c>
      <c r="AC232" s="35">
        <v>8.3299999999999999E-2</v>
      </c>
      <c r="AD232" s="36">
        <f t="shared" si="15"/>
        <v>0.49980000000000002</v>
      </c>
      <c r="AF232">
        <v>25</v>
      </c>
      <c r="AG232" t="s">
        <v>1586</v>
      </c>
      <c r="AH232">
        <v>9</v>
      </c>
      <c r="AI232" s="35">
        <v>5.4000000000000003E-3</v>
      </c>
      <c r="AK232">
        <v>223</v>
      </c>
      <c r="AL232" t="s">
        <v>1289</v>
      </c>
      <c r="AM232">
        <v>1</v>
      </c>
    </row>
    <row r="233" spans="1:40" x14ac:dyDescent="0.25">
      <c r="A233">
        <v>66</v>
      </c>
      <c r="B233">
        <v>88</v>
      </c>
      <c r="C233" t="s">
        <v>464</v>
      </c>
      <c r="D233" s="1">
        <f t="shared" si="13"/>
        <v>518</v>
      </c>
      <c r="E233" s="2">
        <v>68</v>
      </c>
      <c r="F233" s="3">
        <v>125</v>
      </c>
      <c r="G233" s="4">
        <v>65</v>
      </c>
      <c r="H233" s="5">
        <v>65</v>
      </c>
      <c r="I233" s="4">
        <v>115</v>
      </c>
      <c r="J233" s="6">
        <v>80</v>
      </c>
      <c r="K233">
        <v>518</v>
      </c>
      <c r="L233" t="s">
        <v>858</v>
      </c>
      <c r="M233" t="s">
        <v>623</v>
      </c>
      <c r="N233" s="19" t="s">
        <v>659</v>
      </c>
      <c r="O233" t="s">
        <v>772</v>
      </c>
      <c r="P233" s="17">
        <v>88</v>
      </c>
      <c r="Q233" t="str">
        <f t="shared" si="14"/>
        <v>Gallade</v>
      </c>
      <c r="R233" t="s">
        <v>795</v>
      </c>
      <c r="T233">
        <v>51</v>
      </c>
      <c r="U233" s="16" t="s">
        <v>894</v>
      </c>
      <c r="W233" s="27" t="s">
        <v>1055</v>
      </c>
      <c r="Y233" t="s">
        <v>978</v>
      </c>
      <c r="Z233">
        <v>193</v>
      </c>
      <c r="AA233" t="s">
        <v>529</v>
      </c>
      <c r="AB233">
        <v>10</v>
      </c>
      <c r="AC233" s="35">
        <v>0.05</v>
      </c>
      <c r="AD233" s="36">
        <f t="shared" si="15"/>
        <v>0.5</v>
      </c>
      <c r="AF233">
        <v>37</v>
      </c>
      <c r="AG233" t="s">
        <v>421</v>
      </c>
      <c r="AH233">
        <v>9</v>
      </c>
      <c r="AI233" s="35">
        <v>5.4000000000000003E-3</v>
      </c>
      <c r="AK233">
        <v>224</v>
      </c>
      <c r="AL233" t="s">
        <v>1290</v>
      </c>
      <c r="AM233">
        <v>1</v>
      </c>
    </row>
    <row r="234" spans="1:40" x14ac:dyDescent="0.25">
      <c r="A234">
        <v>83</v>
      </c>
      <c r="B234">
        <v>89</v>
      </c>
      <c r="C234" t="s">
        <v>465</v>
      </c>
      <c r="D234" s="1">
        <f t="shared" si="13"/>
        <v>455</v>
      </c>
      <c r="E234" s="2">
        <v>65</v>
      </c>
      <c r="F234" s="3">
        <v>79</v>
      </c>
      <c r="G234" s="4">
        <v>67</v>
      </c>
      <c r="H234" s="5">
        <v>103</v>
      </c>
      <c r="I234" s="4">
        <v>72</v>
      </c>
      <c r="J234" s="6">
        <v>69</v>
      </c>
      <c r="K234">
        <v>455</v>
      </c>
      <c r="L234" t="s">
        <v>636</v>
      </c>
      <c r="M234" t="s">
        <v>637</v>
      </c>
      <c r="N234" s="19" t="s">
        <v>1144</v>
      </c>
      <c r="O234" s="16" t="s">
        <v>768</v>
      </c>
      <c r="P234" s="10">
        <v>89</v>
      </c>
      <c r="Q234" t="str">
        <f t="shared" si="14"/>
        <v>Tigrette</v>
      </c>
      <c r="T234">
        <v>52</v>
      </c>
      <c r="U234" s="16" t="s">
        <v>876</v>
      </c>
      <c r="W234" s="30" t="s">
        <v>1037</v>
      </c>
      <c r="Y234" t="s">
        <v>979</v>
      </c>
      <c r="Z234">
        <v>22</v>
      </c>
      <c r="AA234" t="s">
        <v>1583</v>
      </c>
      <c r="AB234">
        <v>4</v>
      </c>
      <c r="AC234" s="35">
        <v>0.125</v>
      </c>
      <c r="AD234" s="36">
        <f t="shared" si="15"/>
        <v>0.5</v>
      </c>
      <c r="AF234">
        <v>50</v>
      </c>
      <c r="AG234" t="s">
        <v>1595</v>
      </c>
      <c r="AH234">
        <v>9</v>
      </c>
      <c r="AI234" s="35">
        <v>5.4000000000000003E-3</v>
      </c>
      <c r="AK234">
        <v>226</v>
      </c>
      <c r="AL234" t="s">
        <v>1292</v>
      </c>
      <c r="AM234">
        <v>1</v>
      </c>
      <c r="AN234" t="s">
        <v>1557</v>
      </c>
    </row>
    <row r="235" spans="1:40" x14ac:dyDescent="0.25">
      <c r="A235">
        <v>137</v>
      </c>
      <c r="B235">
        <v>90</v>
      </c>
      <c r="C235" t="s">
        <v>466</v>
      </c>
      <c r="D235" s="1">
        <f t="shared" si="13"/>
        <v>288</v>
      </c>
      <c r="E235" s="2">
        <v>53</v>
      </c>
      <c r="F235" s="3">
        <v>54</v>
      </c>
      <c r="G235" s="4">
        <v>53</v>
      </c>
      <c r="H235" s="5">
        <v>37</v>
      </c>
      <c r="I235" s="4">
        <v>46</v>
      </c>
      <c r="J235" s="6">
        <v>45</v>
      </c>
      <c r="K235">
        <v>288</v>
      </c>
      <c r="L235" t="s">
        <v>638</v>
      </c>
      <c r="M235" t="s">
        <v>1095</v>
      </c>
      <c r="N235" s="19" t="s">
        <v>1096</v>
      </c>
      <c r="O235" s="16" t="s">
        <v>759</v>
      </c>
      <c r="P235" s="57">
        <v>90</v>
      </c>
      <c r="Q235" t="str">
        <f t="shared" si="14"/>
        <v>Inkay</v>
      </c>
      <c r="R235">
        <v>30</v>
      </c>
      <c r="T235">
        <v>53</v>
      </c>
      <c r="U235" s="16" t="s">
        <v>888</v>
      </c>
      <c r="W235" s="29" t="s">
        <v>1007</v>
      </c>
      <c r="Y235" t="s">
        <v>994</v>
      </c>
      <c r="Z235">
        <v>109</v>
      </c>
      <c r="AA235" t="s">
        <v>481</v>
      </c>
      <c r="AB235">
        <v>5</v>
      </c>
      <c r="AC235" s="35">
        <v>0.10199999999999999</v>
      </c>
      <c r="AD235" s="36">
        <f t="shared" si="15"/>
        <v>0.51</v>
      </c>
      <c r="AF235">
        <v>51</v>
      </c>
      <c r="AG235" t="s">
        <v>1596</v>
      </c>
      <c r="AH235">
        <v>9</v>
      </c>
      <c r="AI235" s="35">
        <v>5.4000000000000003E-3</v>
      </c>
      <c r="AK235">
        <v>227</v>
      </c>
      <c r="AL235" t="s">
        <v>1293</v>
      </c>
      <c r="AM235">
        <v>1</v>
      </c>
      <c r="AN235" t="s">
        <v>1558</v>
      </c>
    </row>
    <row r="236" spans="1:40" x14ac:dyDescent="0.25">
      <c r="A236">
        <v>138</v>
      </c>
      <c r="B236">
        <v>91</v>
      </c>
      <c r="C236" t="s">
        <v>467</v>
      </c>
      <c r="D236" s="1">
        <f t="shared" si="13"/>
        <v>482</v>
      </c>
      <c r="E236" s="2">
        <v>86</v>
      </c>
      <c r="F236" s="3">
        <v>92</v>
      </c>
      <c r="G236" s="4">
        <v>88</v>
      </c>
      <c r="H236" s="5">
        <v>68</v>
      </c>
      <c r="I236" s="4">
        <v>75</v>
      </c>
      <c r="J236" s="6">
        <v>73</v>
      </c>
      <c r="K236">
        <v>482</v>
      </c>
      <c r="L236" t="s">
        <v>638</v>
      </c>
      <c r="M236" t="s">
        <v>1095</v>
      </c>
      <c r="N236" s="19" t="s">
        <v>1096</v>
      </c>
      <c r="O236" s="10" t="s">
        <v>699</v>
      </c>
      <c r="P236" s="57">
        <v>91</v>
      </c>
      <c r="Q236" t="str">
        <f t="shared" si="14"/>
        <v>Malamar</v>
      </c>
      <c r="T236">
        <v>54</v>
      </c>
      <c r="U236" s="16" t="s">
        <v>887</v>
      </c>
      <c r="W236" s="25" t="s">
        <v>1031</v>
      </c>
      <c r="Y236" t="s">
        <v>980</v>
      </c>
      <c r="Z236">
        <v>62</v>
      </c>
      <c r="AA236" t="s">
        <v>438</v>
      </c>
      <c r="AB236">
        <v>6</v>
      </c>
      <c r="AC236" s="35">
        <v>8.6699999999999999E-2</v>
      </c>
      <c r="AD236" s="36">
        <f t="shared" si="15"/>
        <v>0.5202</v>
      </c>
      <c r="AF236">
        <v>84</v>
      </c>
      <c r="AG236" t="s">
        <v>1086</v>
      </c>
      <c r="AH236">
        <v>9</v>
      </c>
      <c r="AI236" s="35">
        <v>5.4000000000000003E-3</v>
      </c>
      <c r="AK236">
        <v>228</v>
      </c>
      <c r="AL236" t="s">
        <v>1294</v>
      </c>
      <c r="AM236">
        <v>1</v>
      </c>
    </row>
    <row r="237" spans="1:40" x14ac:dyDescent="0.25">
      <c r="A237">
        <v>52</v>
      </c>
      <c r="B237">
        <v>92</v>
      </c>
      <c r="C237" t="s">
        <v>468</v>
      </c>
      <c r="D237" s="1">
        <f t="shared" si="13"/>
        <v>375</v>
      </c>
      <c r="E237" s="2">
        <v>46</v>
      </c>
      <c r="F237" s="3">
        <v>74</v>
      </c>
      <c r="G237" s="4">
        <v>68</v>
      </c>
      <c r="H237" s="5">
        <v>48</v>
      </c>
      <c r="I237" s="4">
        <v>58</v>
      </c>
      <c r="J237" s="6">
        <v>81</v>
      </c>
      <c r="K237">
        <v>375</v>
      </c>
      <c r="L237" t="s">
        <v>621</v>
      </c>
      <c r="M237" t="s">
        <v>639</v>
      </c>
      <c r="N237" s="19" t="s">
        <v>622</v>
      </c>
      <c r="O237" s="53" t="s">
        <v>716</v>
      </c>
      <c r="P237" t="s">
        <v>1497</v>
      </c>
      <c r="Q237" t="str">
        <f t="shared" si="14"/>
        <v>Flameruff</v>
      </c>
      <c r="R237">
        <v>35</v>
      </c>
      <c r="T237">
        <v>55</v>
      </c>
      <c r="U237" t="s">
        <v>883</v>
      </c>
      <c r="W237" t="s">
        <v>1064</v>
      </c>
      <c r="Y237" t="s">
        <v>981</v>
      </c>
      <c r="Z237">
        <v>52</v>
      </c>
      <c r="AA237" t="s">
        <v>1597</v>
      </c>
      <c r="AB237">
        <v>5</v>
      </c>
      <c r="AC237" s="35">
        <v>0.106</v>
      </c>
      <c r="AD237" s="36">
        <f t="shared" si="15"/>
        <v>0.53</v>
      </c>
      <c r="AF237">
        <v>88</v>
      </c>
      <c r="AG237" t="s">
        <v>464</v>
      </c>
      <c r="AH237">
        <v>9</v>
      </c>
      <c r="AI237" s="35">
        <v>5.4000000000000003E-3</v>
      </c>
      <c r="AK237">
        <v>229</v>
      </c>
      <c r="AL237" t="s">
        <v>1295</v>
      </c>
      <c r="AM237">
        <v>1</v>
      </c>
      <c r="AN237" t="s">
        <v>1557</v>
      </c>
    </row>
    <row r="238" spans="1:40" x14ac:dyDescent="0.25">
      <c r="A238">
        <v>53</v>
      </c>
      <c r="B238">
        <v>93</v>
      </c>
      <c r="C238" t="s">
        <v>469</v>
      </c>
      <c r="D238" s="1">
        <f t="shared" si="13"/>
        <v>495</v>
      </c>
      <c r="E238" s="2">
        <v>65</v>
      </c>
      <c r="F238" s="3">
        <v>103</v>
      </c>
      <c r="G238" s="4">
        <v>82</v>
      </c>
      <c r="H238" s="5">
        <v>66</v>
      </c>
      <c r="I238" s="4">
        <v>79</v>
      </c>
      <c r="J238" s="6">
        <v>100</v>
      </c>
      <c r="K238">
        <v>495</v>
      </c>
      <c r="L238" t="s">
        <v>621</v>
      </c>
      <c r="M238" t="s">
        <v>639</v>
      </c>
      <c r="N238" s="19" t="s">
        <v>622</v>
      </c>
      <c r="O238" s="16" t="s">
        <v>764</v>
      </c>
      <c r="P238" s="10">
        <v>93</v>
      </c>
      <c r="Q238" t="str">
        <f t="shared" si="14"/>
        <v>Barkflare</v>
      </c>
      <c r="T238">
        <v>56</v>
      </c>
      <c r="U238" t="s">
        <v>884</v>
      </c>
      <c r="W238" t="s">
        <v>1064</v>
      </c>
      <c r="Y238" t="s">
        <v>983</v>
      </c>
      <c r="Z238">
        <v>145</v>
      </c>
      <c r="AA238" t="s">
        <v>503</v>
      </c>
      <c r="AB238">
        <v>9</v>
      </c>
      <c r="AC238" s="35">
        <v>0.06</v>
      </c>
      <c r="AD238" s="36">
        <f t="shared" si="15"/>
        <v>0.54</v>
      </c>
      <c r="AF238">
        <v>91</v>
      </c>
      <c r="AG238" t="s">
        <v>467</v>
      </c>
      <c r="AH238">
        <v>9</v>
      </c>
      <c r="AI238" s="35">
        <v>5.4000000000000003E-3</v>
      </c>
      <c r="AK238">
        <v>230</v>
      </c>
      <c r="AL238" t="s">
        <v>1296</v>
      </c>
      <c r="AM238">
        <v>1</v>
      </c>
      <c r="AN238" t="s">
        <v>1557</v>
      </c>
    </row>
    <row r="239" spans="1:40" x14ac:dyDescent="0.25">
      <c r="A239">
        <v>54</v>
      </c>
      <c r="B239">
        <v>94</v>
      </c>
      <c r="C239" t="s">
        <v>470</v>
      </c>
      <c r="D239" s="1">
        <f t="shared" si="13"/>
        <v>306</v>
      </c>
      <c r="E239" s="2">
        <v>30</v>
      </c>
      <c r="F239" s="3">
        <v>20</v>
      </c>
      <c r="G239" s="4">
        <v>40</v>
      </c>
      <c r="H239" s="5">
        <v>103</v>
      </c>
      <c r="I239" s="4">
        <v>30</v>
      </c>
      <c r="J239" s="6">
        <v>83</v>
      </c>
      <c r="K239">
        <v>306</v>
      </c>
      <c r="L239" t="s">
        <v>640</v>
      </c>
      <c r="M239" t="s">
        <v>639</v>
      </c>
      <c r="N239" s="19" t="s">
        <v>1120</v>
      </c>
      <c r="O239" s="31" t="s">
        <v>765</v>
      </c>
      <c r="P239">
        <v>94</v>
      </c>
      <c r="Q239" t="str">
        <f t="shared" si="14"/>
        <v>Iglite</v>
      </c>
      <c r="R239">
        <v>16</v>
      </c>
      <c r="T239">
        <v>57</v>
      </c>
      <c r="U239" t="s">
        <v>885</v>
      </c>
      <c r="W239" t="s">
        <v>1064</v>
      </c>
      <c r="Y239" t="s">
        <v>987</v>
      </c>
      <c r="Z239">
        <v>245</v>
      </c>
      <c r="AA239" t="s">
        <v>1123</v>
      </c>
      <c r="AB239">
        <v>9</v>
      </c>
      <c r="AC239" s="35">
        <v>0.06</v>
      </c>
      <c r="AD239" s="36">
        <f t="shared" si="15"/>
        <v>0.54</v>
      </c>
      <c r="AF239">
        <v>97</v>
      </c>
      <c r="AG239" t="s">
        <v>473</v>
      </c>
      <c r="AH239">
        <v>9</v>
      </c>
      <c r="AI239" s="35">
        <v>5.4000000000000003E-3</v>
      </c>
      <c r="AK239">
        <v>233</v>
      </c>
      <c r="AL239" t="s">
        <v>1297</v>
      </c>
      <c r="AM239">
        <v>1</v>
      </c>
      <c r="AN239" t="s">
        <v>1557</v>
      </c>
    </row>
    <row r="240" spans="1:40" x14ac:dyDescent="0.25">
      <c r="A240">
        <v>55</v>
      </c>
      <c r="B240">
        <v>95</v>
      </c>
      <c r="C240" t="s">
        <v>471</v>
      </c>
      <c r="D240" s="1">
        <f t="shared" si="13"/>
        <v>400</v>
      </c>
      <c r="E240" s="2">
        <v>45</v>
      </c>
      <c r="F240" s="3">
        <v>88</v>
      </c>
      <c r="G240" s="4">
        <v>50</v>
      </c>
      <c r="H240" s="5">
        <v>70</v>
      </c>
      <c r="I240" s="4">
        <v>54</v>
      </c>
      <c r="J240" s="6">
        <v>93</v>
      </c>
      <c r="K240">
        <v>400</v>
      </c>
      <c r="L240" t="s">
        <v>640</v>
      </c>
      <c r="M240" t="s">
        <v>667</v>
      </c>
      <c r="N240" s="19" t="s">
        <v>1120</v>
      </c>
      <c r="O240" s="10" t="s">
        <v>691</v>
      </c>
      <c r="P240" s="10">
        <v>95</v>
      </c>
      <c r="Q240" t="str">
        <f t="shared" si="14"/>
        <v>Blaxer</v>
      </c>
      <c r="R240">
        <v>36</v>
      </c>
      <c r="T240">
        <v>58</v>
      </c>
      <c r="U240" t="s">
        <v>886</v>
      </c>
      <c r="W240" t="s">
        <v>1064</v>
      </c>
      <c r="Y240" t="s">
        <v>984</v>
      </c>
      <c r="Z240">
        <v>160</v>
      </c>
      <c r="AA240" t="s">
        <v>36</v>
      </c>
      <c r="AB240">
        <v>4</v>
      </c>
      <c r="AC240" s="35">
        <v>0.13500000000000001</v>
      </c>
      <c r="AD240" s="36">
        <f t="shared" si="15"/>
        <v>0.54</v>
      </c>
      <c r="AF240">
        <v>109</v>
      </c>
      <c r="AG240" t="s">
        <v>481</v>
      </c>
      <c r="AH240">
        <v>9</v>
      </c>
      <c r="AI240" s="35">
        <v>5.4000000000000003E-3</v>
      </c>
      <c r="AK240">
        <v>237</v>
      </c>
      <c r="AL240" t="s">
        <v>1537</v>
      </c>
      <c r="AM240">
        <v>1</v>
      </c>
      <c r="AN240" t="s">
        <v>1557</v>
      </c>
    </row>
    <row r="241" spans="1:40" x14ac:dyDescent="0.25">
      <c r="A241">
        <v>56</v>
      </c>
      <c r="B241">
        <v>96</v>
      </c>
      <c r="C241" s="10" t="s">
        <v>472</v>
      </c>
      <c r="D241" s="1">
        <f t="shared" si="13"/>
        <v>516</v>
      </c>
      <c r="E241" s="2">
        <v>65</v>
      </c>
      <c r="F241" s="3">
        <v>120</v>
      </c>
      <c r="G241" s="4">
        <v>70</v>
      </c>
      <c r="H241" s="5">
        <v>60</v>
      </c>
      <c r="I241" s="4">
        <v>78</v>
      </c>
      <c r="J241" s="6">
        <v>123</v>
      </c>
      <c r="K241">
        <v>516</v>
      </c>
      <c r="L241" t="s">
        <v>640</v>
      </c>
      <c r="M241" t="s">
        <v>667</v>
      </c>
      <c r="N241" s="37" t="s">
        <v>1120</v>
      </c>
      <c r="O241" s="31" t="s">
        <v>723</v>
      </c>
      <c r="P241">
        <v>96</v>
      </c>
      <c r="Q241" t="str">
        <f t="shared" si="14"/>
        <v>Pyrator</v>
      </c>
      <c r="T241">
        <v>59</v>
      </c>
      <c r="U241" s="16" t="s">
        <v>875</v>
      </c>
      <c r="W241" s="30" t="s">
        <v>831</v>
      </c>
      <c r="Y241" t="s">
        <v>970</v>
      </c>
      <c r="Z241">
        <v>84</v>
      </c>
      <c r="AA241" t="s">
        <v>1086</v>
      </c>
      <c r="AB241">
        <v>10</v>
      </c>
      <c r="AC241" s="35">
        <v>5.5E-2</v>
      </c>
      <c r="AD241" s="36">
        <f t="shared" si="15"/>
        <v>0.55000000000000004</v>
      </c>
      <c r="AF241">
        <v>110</v>
      </c>
      <c r="AG241" t="s">
        <v>482</v>
      </c>
      <c r="AH241">
        <v>9</v>
      </c>
      <c r="AI241" s="35">
        <v>5.4000000000000003E-3</v>
      </c>
      <c r="AK241">
        <v>240</v>
      </c>
      <c r="AL241" t="s">
        <v>1298</v>
      </c>
      <c r="AM241">
        <v>1</v>
      </c>
      <c r="AN241" t="s">
        <v>1556</v>
      </c>
    </row>
    <row r="242" spans="1:40" x14ac:dyDescent="0.25">
      <c r="A242">
        <v>191</v>
      </c>
      <c r="B242">
        <v>97</v>
      </c>
      <c r="C242" s="10" t="s">
        <v>473</v>
      </c>
      <c r="D242" s="1">
        <f t="shared" si="13"/>
        <v>505</v>
      </c>
      <c r="E242" s="2">
        <v>105</v>
      </c>
      <c r="F242" s="3">
        <v>35</v>
      </c>
      <c r="G242" s="4">
        <v>120</v>
      </c>
      <c r="H242" s="5">
        <v>90</v>
      </c>
      <c r="I242" s="4">
        <v>90</v>
      </c>
      <c r="J242" s="6">
        <v>65</v>
      </c>
      <c r="K242">
        <v>505</v>
      </c>
      <c r="L242" s="9" t="s">
        <v>641</v>
      </c>
      <c r="M242" s="13"/>
      <c r="N242" s="20"/>
      <c r="O242" s="55" t="s">
        <v>718</v>
      </c>
      <c r="P242" t="s">
        <v>1501</v>
      </c>
      <c r="Q242" t="str">
        <f t="shared" si="14"/>
        <v>Magmaclang</v>
      </c>
      <c r="R242" s="14"/>
      <c r="T242">
        <v>60</v>
      </c>
      <c r="U242" s="16" t="s">
        <v>877</v>
      </c>
      <c r="W242" s="25" t="s">
        <v>1034</v>
      </c>
      <c r="Y242" t="s">
        <v>988</v>
      </c>
      <c r="Z242">
        <v>72</v>
      </c>
      <c r="AA242" t="s">
        <v>448</v>
      </c>
      <c r="AB242">
        <v>9</v>
      </c>
      <c r="AC242" s="35">
        <v>6.2199999999999998E-2</v>
      </c>
      <c r="AD242" s="36">
        <f t="shared" si="15"/>
        <v>0.55979999999999996</v>
      </c>
      <c r="AF242">
        <v>113</v>
      </c>
      <c r="AG242" t="s">
        <v>483</v>
      </c>
      <c r="AH242">
        <v>9</v>
      </c>
      <c r="AI242" s="35">
        <v>5.4000000000000003E-3</v>
      </c>
      <c r="AK242">
        <v>241</v>
      </c>
      <c r="AL242" t="s">
        <v>1299</v>
      </c>
      <c r="AM242">
        <v>1</v>
      </c>
    </row>
    <row r="243" spans="1:40" x14ac:dyDescent="0.25">
      <c r="A243">
        <v>209</v>
      </c>
      <c r="B243">
        <v>98</v>
      </c>
      <c r="C243" t="s">
        <v>474</v>
      </c>
      <c r="D243" s="1">
        <f t="shared" si="13"/>
        <v>360</v>
      </c>
      <c r="E243" s="2">
        <v>70</v>
      </c>
      <c r="F243" s="3">
        <v>53</v>
      </c>
      <c r="G243" s="4">
        <v>70</v>
      </c>
      <c r="H243" s="5">
        <v>55</v>
      </c>
      <c r="I243" s="4">
        <v>60</v>
      </c>
      <c r="J243" s="6">
        <v>52</v>
      </c>
      <c r="K243">
        <v>360</v>
      </c>
      <c r="L243" s="9" t="s">
        <v>640</v>
      </c>
      <c r="M243" s="13"/>
      <c r="N243" s="20"/>
      <c r="O243" s="21" t="s">
        <v>706</v>
      </c>
      <c r="P243" s="10">
        <v>98</v>
      </c>
      <c r="Q243" t="str">
        <f t="shared" si="14"/>
        <v>Flamehox</v>
      </c>
      <c r="R243" s="14">
        <v>35</v>
      </c>
      <c r="T243">
        <v>61</v>
      </c>
      <c r="U243" s="16" t="s">
        <v>889</v>
      </c>
      <c r="W243" s="25" t="s">
        <v>1032</v>
      </c>
      <c r="Y243" t="s">
        <v>989</v>
      </c>
      <c r="Z243">
        <v>66</v>
      </c>
      <c r="AA243" t="s">
        <v>1609</v>
      </c>
      <c r="AB243">
        <v>5</v>
      </c>
      <c r="AC243" s="35">
        <v>0.112</v>
      </c>
      <c r="AD243" s="36">
        <f t="shared" si="15"/>
        <v>0.56000000000000005</v>
      </c>
      <c r="AF243">
        <v>119</v>
      </c>
      <c r="AG243" t="s">
        <v>489</v>
      </c>
      <c r="AH243">
        <v>9</v>
      </c>
      <c r="AI243" s="35">
        <v>5.4000000000000003E-3</v>
      </c>
      <c r="AK243">
        <v>246</v>
      </c>
      <c r="AL243" t="s">
        <v>1300</v>
      </c>
      <c r="AM243">
        <v>1</v>
      </c>
    </row>
    <row r="244" spans="1:40" x14ac:dyDescent="0.25">
      <c r="A244">
        <v>210</v>
      </c>
      <c r="B244">
        <v>99</v>
      </c>
      <c r="C244" t="s">
        <v>75</v>
      </c>
      <c r="D244" s="1">
        <f t="shared" si="13"/>
        <v>460</v>
      </c>
      <c r="E244" s="2">
        <v>75</v>
      </c>
      <c r="F244" s="3">
        <v>75</v>
      </c>
      <c r="G244" s="4">
        <v>75</v>
      </c>
      <c r="H244" s="5">
        <v>90</v>
      </c>
      <c r="I244" s="4">
        <v>75</v>
      </c>
      <c r="J244" s="6">
        <v>70</v>
      </c>
      <c r="K244">
        <v>460</v>
      </c>
      <c r="L244" s="9" t="s">
        <v>621</v>
      </c>
      <c r="N244" s="19"/>
      <c r="O244" s="21" t="s">
        <v>797</v>
      </c>
      <c r="P244" s="10">
        <v>99</v>
      </c>
      <c r="Q244" t="str">
        <f t="shared" si="14"/>
        <v>Fireshard</v>
      </c>
      <c r="R244" s="14">
        <v>55</v>
      </c>
      <c r="T244">
        <v>62</v>
      </c>
      <c r="U244" s="16" t="s">
        <v>985</v>
      </c>
      <c r="W244" s="29" t="s">
        <v>1063</v>
      </c>
      <c r="Y244" t="s">
        <v>986</v>
      </c>
      <c r="Z244">
        <v>117</v>
      </c>
      <c r="AA244" t="s">
        <v>487</v>
      </c>
      <c r="AB244">
        <v>3</v>
      </c>
      <c r="AC244" s="35">
        <v>0.1867</v>
      </c>
      <c r="AD244" s="36">
        <f t="shared" si="15"/>
        <v>0.56010000000000004</v>
      </c>
      <c r="AF244">
        <v>125</v>
      </c>
      <c r="AG244" t="s">
        <v>1069</v>
      </c>
      <c r="AH244">
        <v>9</v>
      </c>
      <c r="AI244" s="35">
        <v>5.4000000000000003E-3</v>
      </c>
      <c r="AK244">
        <v>248</v>
      </c>
      <c r="AL244" t="s">
        <v>1538</v>
      </c>
      <c r="AM244">
        <v>1</v>
      </c>
      <c r="AN244" t="s">
        <v>1556</v>
      </c>
    </row>
    <row r="245" spans="1:40" x14ac:dyDescent="0.25">
      <c r="A245">
        <v>211</v>
      </c>
      <c r="B245">
        <v>100</v>
      </c>
      <c r="C245" t="s">
        <v>76</v>
      </c>
      <c r="D245" s="1">
        <f t="shared" si="13"/>
        <v>560</v>
      </c>
      <c r="E245" s="2">
        <v>95</v>
      </c>
      <c r="F245" s="3">
        <v>75</v>
      </c>
      <c r="G245" s="4">
        <v>87</v>
      </c>
      <c r="H245" s="5">
        <v>140</v>
      </c>
      <c r="I245" s="4">
        <v>80</v>
      </c>
      <c r="J245" s="6">
        <v>83</v>
      </c>
      <c r="K245">
        <v>560</v>
      </c>
      <c r="L245" s="9" t="s">
        <v>607</v>
      </c>
      <c r="N245" s="19"/>
      <c r="O245" t="s">
        <v>158</v>
      </c>
      <c r="P245">
        <v>100</v>
      </c>
      <c r="Q245" t="str">
        <f t="shared" si="14"/>
        <v>Blastflames</v>
      </c>
      <c r="T245">
        <v>63</v>
      </c>
      <c r="U245" s="16" t="s">
        <v>895</v>
      </c>
      <c r="W245" s="30" t="s">
        <v>821</v>
      </c>
      <c r="Y245" t="s">
        <v>990</v>
      </c>
      <c r="Z245">
        <v>216</v>
      </c>
      <c r="AA245" t="s">
        <v>552</v>
      </c>
      <c r="AB245">
        <v>4</v>
      </c>
      <c r="AC245" s="35">
        <v>0.14249999999999999</v>
      </c>
      <c r="AD245" s="36">
        <f t="shared" si="15"/>
        <v>0.56999999999999995</v>
      </c>
      <c r="AF245">
        <v>131</v>
      </c>
      <c r="AG245" t="s">
        <v>579</v>
      </c>
      <c r="AH245">
        <v>9</v>
      </c>
      <c r="AI245" s="35">
        <v>5.4000000000000003E-3</v>
      </c>
      <c r="AK245">
        <v>249</v>
      </c>
      <c r="AL245" t="s">
        <v>1539</v>
      </c>
      <c r="AM245">
        <v>1</v>
      </c>
    </row>
    <row r="246" spans="1:40" x14ac:dyDescent="0.25">
      <c r="A246">
        <v>101</v>
      </c>
      <c r="B246">
        <v>101</v>
      </c>
      <c r="C246" t="s">
        <v>475</v>
      </c>
      <c r="D246" s="1">
        <f t="shared" si="13"/>
        <v>330</v>
      </c>
      <c r="E246" s="2">
        <v>60</v>
      </c>
      <c r="F246" s="3">
        <v>35</v>
      </c>
      <c r="G246" s="4">
        <v>78</v>
      </c>
      <c r="H246" s="5">
        <v>50</v>
      </c>
      <c r="I246" s="4">
        <v>77</v>
      </c>
      <c r="J246" s="6">
        <v>30</v>
      </c>
      <c r="K246">
        <v>330</v>
      </c>
      <c r="L246" s="9" t="s">
        <v>642</v>
      </c>
      <c r="N246" s="19" t="s">
        <v>1143</v>
      </c>
      <c r="O246" t="s">
        <v>774</v>
      </c>
      <c r="P246">
        <v>101</v>
      </c>
      <c r="Q246" t="str">
        <f t="shared" si="14"/>
        <v>Tiowoo</v>
      </c>
      <c r="R246">
        <v>20</v>
      </c>
      <c r="T246">
        <v>64</v>
      </c>
      <c r="U246" s="16" t="s">
        <v>1006</v>
      </c>
      <c r="W246" s="25" t="s">
        <v>1030</v>
      </c>
      <c r="Y246" t="s">
        <v>991</v>
      </c>
      <c r="Z246">
        <v>16</v>
      </c>
      <c r="AA246" t="s">
        <v>15</v>
      </c>
      <c r="AB246">
        <v>4</v>
      </c>
      <c r="AC246" s="35">
        <v>0.14499999999999999</v>
      </c>
      <c r="AD246" s="36">
        <f t="shared" si="15"/>
        <v>0.57999999999999996</v>
      </c>
      <c r="AF246">
        <v>133</v>
      </c>
      <c r="AG246" t="s">
        <v>495</v>
      </c>
      <c r="AH246">
        <v>9</v>
      </c>
      <c r="AI246" s="35">
        <v>5.4000000000000003E-3</v>
      </c>
      <c r="AK246">
        <v>250</v>
      </c>
      <c r="AL246" t="s">
        <v>1540</v>
      </c>
      <c r="AM246">
        <v>1</v>
      </c>
    </row>
    <row r="247" spans="1:40" x14ac:dyDescent="0.25">
      <c r="A247">
        <v>102</v>
      </c>
      <c r="B247">
        <v>102</v>
      </c>
      <c r="C247" t="s">
        <v>476</v>
      </c>
      <c r="D247" s="1">
        <f t="shared" si="13"/>
        <v>400</v>
      </c>
      <c r="E247" s="2">
        <v>70</v>
      </c>
      <c r="F247" s="3">
        <v>57</v>
      </c>
      <c r="G247" s="4">
        <v>105</v>
      </c>
      <c r="H247" s="5">
        <v>51</v>
      </c>
      <c r="I247" s="4">
        <v>87</v>
      </c>
      <c r="J247" s="6">
        <v>30</v>
      </c>
      <c r="K247">
        <v>400</v>
      </c>
      <c r="L247" s="9" t="s">
        <v>642</v>
      </c>
      <c r="N247" s="19" t="s">
        <v>1143</v>
      </c>
      <c r="O247" t="s">
        <v>775</v>
      </c>
      <c r="P247">
        <v>102</v>
      </c>
      <c r="Q247" t="str">
        <f t="shared" si="14"/>
        <v>Magwoo</v>
      </c>
      <c r="R247">
        <v>40</v>
      </c>
      <c r="T247">
        <v>65</v>
      </c>
      <c r="U247" s="16" t="s">
        <v>903</v>
      </c>
      <c r="W247" s="26" t="s">
        <v>1038</v>
      </c>
      <c r="Y247" t="s">
        <v>992</v>
      </c>
      <c r="Z247">
        <v>26</v>
      </c>
      <c r="AA247" t="s">
        <v>11</v>
      </c>
      <c r="AB247">
        <v>5</v>
      </c>
      <c r="AC247" s="35">
        <v>0.11600000000000001</v>
      </c>
      <c r="AD247" s="36">
        <f t="shared" si="15"/>
        <v>0.58000000000000007</v>
      </c>
      <c r="AF247">
        <v>136</v>
      </c>
      <c r="AG247" t="s">
        <v>63</v>
      </c>
      <c r="AH247">
        <v>9</v>
      </c>
      <c r="AI247" s="35">
        <v>5.4000000000000003E-3</v>
      </c>
      <c r="AK247">
        <v>251</v>
      </c>
      <c r="AL247" t="s">
        <v>1301</v>
      </c>
      <c r="AM247">
        <v>1</v>
      </c>
      <c r="AN247" t="s">
        <v>1557</v>
      </c>
    </row>
    <row r="248" spans="1:40" x14ac:dyDescent="0.25">
      <c r="A248">
        <v>103</v>
      </c>
      <c r="B248">
        <v>103</v>
      </c>
      <c r="C248" s="10" t="s">
        <v>477</v>
      </c>
      <c r="D248" s="1">
        <f t="shared" si="13"/>
        <v>525</v>
      </c>
      <c r="E248" s="2">
        <v>90</v>
      </c>
      <c r="F248" s="3">
        <v>80</v>
      </c>
      <c r="G248" s="4">
        <v>95</v>
      </c>
      <c r="H248" s="5">
        <v>120</v>
      </c>
      <c r="I248" s="4">
        <v>95</v>
      </c>
      <c r="J248" s="6">
        <v>45</v>
      </c>
      <c r="K248">
        <v>525</v>
      </c>
      <c r="L248" s="9" t="s">
        <v>642</v>
      </c>
      <c r="N248" s="19" t="s">
        <v>1143</v>
      </c>
      <c r="O248" t="s">
        <v>779</v>
      </c>
      <c r="P248">
        <v>103</v>
      </c>
      <c r="Q248" t="str">
        <f t="shared" si="14"/>
        <v>Lafloo</v>
      </c>
      <c r="T248">
        <v>66</v>
      </c>
      <c r="U248" s="16" t="s">
        <v>901</v>
      </c>
      <c r="W248" s="31" t="s">
        <v>835</v>
      </c>
      <c r="Y248" t="s">
        <v>993</v>
      </c>
      <c r="Z248">
        <v>82</v>
      </c>
      <c r="AA248" t="s">
        <v>458</v>
      </c>
      <c r="AB248">
        <v>6</v>
      </c>
      <c r="AC248" s="35">
        <v>9.6699999999999994E-2</v>
      </c>
      <c r="AD248" s="36">
        <f t="shared" si="15"/>
        <v>0.58019999999999994</v>
      </c>
      <c r="AF248">
        <v>165</v>
      </c>
      <c r="AG248" t="s">
        <v>517</v>
      </c>
      <c r="AH248">
        <v>9</v>
      </c>
      <c r="AI248" s="35">
        <v>5.4000000000000003E-3</v>
      </c>
      <c r="AK248">
        <v>252</v>
      </c>
      <c r="AL248" t="s">
        <v>1541</v>
      </c>
      <c r="AM248">
        <v>1</v>
      </c>
      <c r="AN248" t="s">
        <v>1558</v>
      </c>
    </row>
    <row r="249" spans="1:40" x14ac:dyDescent="0.25">
      <c r="A249">
        <v>96</v>
      </c>
      <c r="B249">
        <v>104</v>
      </c>
      <c r="C249" t="s">
        <v>478</v>
      </c>
      <c r="D249" s="1">
        <f t="shared" si="13"/>
        <v>330</v>
      </c>
      <c r="E249" s="2">
        <v>45</v>
      </c>
      <c r="F249" s="3">
        <v>60</v>
      </c>
      <c r="G249" s="4">
        <v>30</v>
      </c>
      <c r="H249" s="5">
        <v>80</v>
      </c>
      <c r="I249" s="4">
        <v>50</v>
      </c>
      <c r="J249" s="6">
        <v>65</v>
      </c>
      <c r="K249">
        <v>330</v>
      </c>
      <c r="L249" s="9" t="s">
        <v>666</v>
      </c>
      <c r="M249" t="s">
        <v>639</v>
      </c>
      <c r="N249" s="19" t="s">
        <v>621</v>
      </c>
      <c r="O249" t="s">
        <v>776</v>
      </c>
      <c r="P249">
        <v>104</v>
      </c>
      <c r="Q249" t="str">
        <f t="shared" si="14"/>
        <v>Houndour</v>
      </c>
      <c r="R249">
        <v>24</v>
      </c>
      <c r="T249">
        <v>67</v>
      </c>
      <c r="U249" s="16" t="s">
        <v>896</v>
      </c>
      <c r="W249" s="27" t="s">
        <v>1054</v>
      </c>
      <c r="Y249" t="s">
        <v>995</v>
      </c>
      <c r="Z249">
        <v>10</v>
      </c>
      <c r="AA249" t="s">
        <v>1572</v>
      </c>
      <c r="AB249">
        <v>4</v>
      </c>
      <c r="AC249" s="35">
        <v>0.15</v>
      </c>
      <c r="AD249" s="36">
        <f t="shared" si="15"/>
        <v>0.6</v>
      </c>
      <c r="AF249">
        <v>183</v>
      </c>
      <c r="AG249" t="s">
        <v>94</v>
      </c>
      <c r="AH249">
        <v>9</v>
      </c>
      <c r="AI249" s="35">
        <v>5.4000000000000003E-3</v>
      </c>
      <c r="AK249">
        <v>254</v>
      </c>
      <c r="AL249" t="s">
        <v>1542</v>
      </c>
      <c r="AM249">
        <v>1</v>
      </c>
      <c r="AN249" t="s">
        <v>1557</v>
      </c>
    </row>
    <row r="250" spans="1:40" x14ac:dyDescent="0.25">
      <c r="A250">
        <v>97</v>
      </c>
      <c r="B250">
        <v>105</v>
      </c>
      <c r="C250" s="10" t="s">
        <v>479</v>
      </c>
      <c r="D250" s="1">
        <f t="shared" si="13"/>
        <v>500</v>
      </c>
      <c r="E250" s="2">
        <v>75</v>
      </c>
      <c r="F250" s="3">
        <v>90</v>
      </c>
      <c r="G250" s="4">
        <v>50</v>
      </c>
      <c r="H250" s="5">
        <v>110</v>
      </c>
      <c r="I250" s="4">
        <v>80</v>
      </c>
      <c r="J250" s="6">
        <v>95</v>
      </c>
      <c r="K250">
        <v>500</v>
      </c>
      <c r="L250" s="9" t="s">
        <v>666</v>
      </c>
      <c r="M250" t="s">
        <v>639</v>
      </c>
      <c r="N250" s="19" t="s">
        <v>621</v>
      </c>
      <c r="O250" t="s">
        <v>862</v>
      </c>
      <c r="P250">
        <v>105</v>
      </c>
      <c r="Q250" t="str">
        <f t="shared" si="14"/>
        <v>Houndoom</v>
      </c>
      <c r="T250">
        <v>68</v>
      </c>
      <c r="U250" s="16" t="s">
        <v>902</v>
      </c>
      <c r="W250" s="28" t="s">
        <v>1010</v>
      </c>
      <c r="Y250" t="s">
        <v>996</v>
      </c>
      <c r="Z250">
        <v>111</v>
      </c>
      <c r="AA250" t="s">
        <v>43</v>
      </c>
      <c r="AB250">
        <v>2</v>
      </c>
      <c r="AC250" s="35">
        <v>0.3</v>
      </c>
      <c r="AD250" s="36">
        <f t="shared" si="15"/>
        <v>0.6</v>
      </c>
      <c r="AF250">
        <v>198</v>
      </c>
      <c r="AG250" t="s">
        <v>534</v>
      </c>
      <c r="AH250">
        <v>9</v>
      </c>
      <c r="AI250" s="35">
        <v>5.4000000000000003E-3</v>
      </c>
      <c r="AK250">
        <v>255</v>
      </c>
      <c r="AL250" t="s">
        <v>1302</v>
      </c>
      <c r="AM250">
        <v>1</v>
      </c>
      <c r="AN250" t="s">
        <v>1558</v>
      </c>
    </row>
    <row r="251" spans="1:40" x14ac:dyDescent="0.25">
      <c r="A251">
        <v>92</v>
      </c>
      <c r="B251">
        <v>106</v>
      </c>
      <c r="C251" t="s">
        <v>99</v>
      </c>
      <c r="D251" s="1">
        <f t="shared" si="13"/>
        <v>335</v>
      </c>
      <c r="E251" s="2">
        <v>40</v>
      </c>
      <c r="F251" s="3">
        <v>45</v>
      </c>
      <c r="G251" s="4">
        <v>40</v>
      </c>
      <c r="H251" s="5">
        <v>75</v>
      </c>
      <c r="I251" s="4">
        <v>65</v>
      </c>
      <c r="J251" s="6">
        <v>70</v>
      </c>
      <c r="K251">
        <v>335</v>
      </c>
      <c r="L251" s="9" t="s">
        <v>643</v>
      </c>
      <c r="M251" t="s">
        <v>610</v>
      </c>
      <c r="N251" s="19" t="s">
        <v>868</v>
      </c>
      <c r="O251" t="s">
        <v>777</v>
      </c>
      <c r="P251">
        <v>106</v>
      </c>
      <c r="Q251" t="str">
        <f t="shared" si="14"/>
        <v>Sparkdust</v>
      </c>
      <c r="R251">
        <v>25</v>
      </c>
      <c r="T251">
        <v>69</v>
      </c>
      <c r="U251" s="16" t="s">
        <v>1011</v>
      </c>
      <c r="W251" s="29" t="s">
        <v>1005</v>
      </c>
      <c r="Z251">
        <v>178</v>
      </c>
      <c r="AA251" t="s">
        <v>524</v>
      </c>
      <c r="AB251">
        <v>10</v>
      </c>
      <c r="AC251" s="35">
        <v>6.0999999999999999E-2</v>
      </c>
      <c r="AD251" s="36">
        <f t="shared" si="15"/>
        <v>0.61</v>
      </c>
      <c r="AF251">
        <v>201</v>
      </c>
      <c r="AG251" t="s">
        <v>537</v>
      </c>
      <c r="AH251">
        <v>9</v>
      </c>
      <c r="AI251" s="35">
        <v>5.4000000000000003E-3</v>
      </c>
      <c r="AK251">
        <v>257</v>
      </c>
      <c r="AL251" t="s">
        <v>1446</v>
      </c>
      <c r="AM251">
        <v>1</v>
      </c>
    </row>
    <row r="252" spans="1:40" x14ac:dyDescent="0.25">
      <c r="A252">
        <v>93</v>
      </c>
      <c r="B252">
        <v>107</v>
      </c>
      <c r="C252" t="s">
        <v>100</v>
      </c>
      <c r="D252" s="1">
        <f t="shared" si="13"/>
        <v>505</v>
      </c>
      <c r="E252" s="2">
        <v>85</v>
      </c>
      <c r="F252" s="3">
        <v>45</v>
      </c>
      <c r="G252" s="4">
        <v>65</v>
      </c>
      <c r="H252" s="5">
        <v>145</v>
      </c>
      <c r="I252" s="4">
        <v>110</v>
      </c>
      <c r="J252" s="6">
        <v>55</v>
      </c>
      <c r="K252">
        <v>505</v>
      </c>
      <c r="L252" s="9" t="s">
        <v>643</v>
      </c>
      <c r="M252" t="s">
        <v>610</v>
      </c>
      <c r="N252" s="19" t="s">
        <v>868</v>
      </c>
      <c r="O252" t="s">
        <v>778</v>
      </c>
      <c r="P252">
        <v>107</v>
      </c>
      <c r="Q252" t="str">
        <f t="shared" si="14"/>
        <v>Splame</v>
      </c>
      <c r="T252">
        <v>70</v>
      </c>
      <c r="U252" s="16" t="s">
        <v>900</v>
      </c>
      <c r="W252" s="27" t="s">
        <v>1004</v>
      </c>
      <c r="Z252">
        <v>77</v>
      </c>
      <c r="AA252" t="s">
        <v>453</v>
      </c>
      <c r="AB252">
        <v>10</v>
      </c>
      <c r="AC252" s="35">
        <v>6.2E-2</v>
      </c>
      <c r="AD252" s="36">
        <f t="shared" si="15"/>
        <v>0.62</v>
      </c>
      <c r="AF252">
        <v>208</v>
      </c>
      <c r="AG252" t="s">
        <v>1624</v>
      </c>
      <c r="AH252">
        <v>9</v>
      </c>
      <c r="AI252" s="35">
        <v>5.4000000000000003E-3</v>
      </c>
      <c r="AK252">
        <v>258</v>
      </c>
      <c r="AL252" t="s">
        <v>1303</v>
      </c>
      <c r="AM252">
        <v>1</v>
      </c>
      <c r="AN252" t="s">
        <v>1558</v>
      </c>
    </row>
    <row r="253" spans="1:40" x14ac:dyDescent="0.25">
      <c r="A253">
        <v>110</v>
      </c>
      <c r="B253">
        <v>108</v>
      </c>
      <c r="C253" t="s">
        <v>480</v>
      </c>
      <c r="D253" s="1">
        <f t="shared" si="13"/>
        <v>400</v>
      </c>
      <c r="E253" s="2">
        <v>60</v>
      </c>
      <c r="F253" s="3">
        <v>70</v>
      </c>
      <c r="G253" s="4">
        <v>65</v>
      </c>
      <c r="H253" s="5">
        <v>70</v>
      </c>
      <c r="I253" s="4">
        <v>65</v>
      </c>
      <c r="J253" s="6">
        <v>70</v>
      </c>
      <c r="K253">
        <v>400</v>
      </c>
      <c r="L253" s="9" t="s">
        <v>631</v>
      </c>
      <c r="N253" s="19"/>
      <c r="P253">
        <v>108</v>
      </c>
      <c r="Q253" t="str">
        <f t="shared" si="14"/>
        <v>Sparkitten</v>
      </c>
      <c r="T253">
        <v>71</v>
      </c>
      <c r="U253" s="16" t="s">
        <v>906</v>
      </c>
      <c r="W253" s="26" t="s">
        <v>1049</v>
      </c>
      <c r="Z253">
        <v>169</v>
      </c>
      <c r="AA253" t="s">
        <v>518</v>
      </c>
      <c r="AB253">
        <v>5</v>
      </c>
      <c r="AC253" s="35">
        <v>0.124</v>
      </c>
      <c r="AD253" s="36">
        <f t="shared" si="15"/>
        <v>0.62</v>
      </c>
      <c r="AF253">
        <v>227</v>
      </c>
      <c r="AG253" t="s">
        <v>562</v>
      </c>
      <c r="AH253">
        <v>9</v>
      </c>
      <c r="AI253" s="35">
        <v>5.4000000000000003E-3</v>
      </c>
      <c r="AK253">
        <v>261</v>
      </c>
      <c r="AL253" t="s">
        <v>1544</v>
      </c>
      <c r="AM253">
        <v>1</v>
      </c>
    </row>
    <row r="254" spans="1:40" x14ac:dyDescent="0.25">
      <c r="A254">
        <v>111</v>
      </c>
      <c r="B254">
        <v>109</v>
      </c>
      <c r="C254" t="s">
        <v>481</v>
      </c>
      <c r="D254" s="1">
        <f t="shared" si="13"/>
        <v>510</v>
      </c>
      <c r="E254" s="2">
        <v>85</v>
      </c>
      <c r="F254" s="3">
        <v>105</v>
      </c>
      <c r="G254" s="4">
        <v>99</v>
      </c>
      <c r="H254" s="5">
        <v>40</v>
      </c>
      <c r="I254" s="4">
        <v>92</v>
      </c>
      <c r="J254" s="6">
        <v>89</v>
      </c>
      <c r="K254">
        <v>510</v>
      </c>
      <c r="L254" s="15" t="s">
        <v>644</v>
      </c>
      <c r="N254" s="19"/>
      <c r="O254" t="s">
        <v>801</v>
      </c>
      <c r="P254">
        <v>109</v>
      </c>
      <c r="Q254" t="str">
        <f t="shared" si="14"/>
        <v>Fireblion</v>
      </c>
      <c r="R254" t="s">
        <v>795</v>
      </c>
      <c r="T254">
        <v>72</v>
      </c>
      <c r="U254" s="16" t="s">
        <v>899</v>
      </c>
      <c r="W254" s="25" t="s">
        <v>849</v>
      </c>
      <c r="Z254">
        <v>110</v>
      </c>
      <c r="AA254" t="s">
        <v>482</v>
      </c>
      <c r="AB254">
        <v>6</v>
      </c>
      <c r="AC254" s="35">
        <v>0.105</v>
      </c>
      <c r="AD254" s="36">
        <f t="shared" si="15"/>
        <v>0.63</v>
      </c>
      <c r="AF254">
        <v>240</v>
      </c>
      <c r="AG254" t="s">
        <v>803</v>
      </c>
      <c r="AH254">
        <v>9</v>
      </c>
      <c r="AI254" s="35">
        <v>5.4000000000000003E-3</v>
      </c>
      <c r="AK254">
        <v>262</v>
      </c>
      <c r="AL254" t="s">
        <v>1304</v>
      </c>
      <c r="AM254">
        <v>1</v>
      </c>
      <c r="AN254" t="s">
        <v>1557</v>
      </c>
    </row>
    <row r="255" spans="1:40" x14ac:dyDescent="0.25">
      <c r="A255">
        <v>112</v>
      </c>
      <c r="B255">
        <v>110</v>
      </c>
      <c r="C255" s="10" t="s">
        <v>482</v>
      </c>
      <c r="D255" s="1">
        <f t="shared" si="13"/>
        <v>510</v>
      </c>
      <c r="E255" s="2">
        <v>70</v>
      </c>
      <c r="F255" s="3">
        <v>40</v>
      </c>
      <c r="G255" s="4">
        <v>55</v>
      </c>
      <c r="H255" s="5">
        <v>120</v>
      </c>
      <c r="I255" s="4">
        <v>115</v>
      </c>
      <c r="J255" s="6">
        <v>110</v>
      </c>
      <c r="K255">
        <v>510</v>
      </c>
      <c r="L255" s="9" t="s">
        <v>609</v>
      </c>
      <c r="N255" s="19"/>
      <c r="O255" t="s">
        <v>502</v>
      </c>
      <c r="P255">
        <v>110</v>
      </c>
      <c r="Q255" t="str">
        <f t="shared" si="14"/>
        <v>Flamebless</v>
      </c>
      <c r="R255" t="s">
        <v>796</v>
      </c>
      <c r="T255">
        <v>73</v>
      </c>
      <c r="U255" s="16" t="s">
        <v>1012</v>
      </c>
      <c r="W255" s="27" t="s">
        <v>1004</v>
      </c>
      <c r="Y255" t="s">
        <v>971</v>
      </c>
      <c r="Z255">
        <v>38</v>
      </c>
      <c r="AA255" t="s">
        <v>422</v>
      </c>
      <c r="AB255">
        <v>9</v>
      </c>
      <c r="AC255" s="35">
        <v>7.1099999999999997E-2</v>
      </c>
      <c r="AD255" s="36">
        <f t="shared" si="15"/>
        <v>0.63989999999999991</v>
      </c>
      <c r="AF255">
        <v>242</v>
      </c>
      <c r="AG255" t="s">
        <v>1118</v>
      </c>
      <c r="AH255">
        <v>9</v>
      </c>
      <c r="AI255" s="35">
        <v>5.4000000000000003E-3</v>
      </c>
      <c r="AK255">
        <v>264</v>
      </c>
      <c r="AL255" t="s">
        <v>1305</v>
      </c>
      <c r="AM255">
        <v>1</v>
      </c>
      <c r="AN255" t="s">
        <v>1557</v>
      </c>
    </row>
    <row r="256" spans="1:40" x14ac:dyDescent="0.25">
      <c r="A256">
        <v>164</v>
      </c>
      <c r="B256">
        <v>111</v>
      </c>
      <c r="C256" t="s">
        <v>43</v>
      </c>
      <c r="D256" s="1">
        <f t="shared" si="13"/>
        <v>360</v>
      </c>
      <c r="E256" s="2">
        <v>55</v>
      </c>
      <c r="F256" s="3">
        <v>62</v>
      </c>
      <c r="G256" s="4">
        <v>46</v>
      </c>
      <c r="H256" s="5">
        <v>73</v>
      </c>
      <c r="I256" s="4">
        <v>75</v>
      </c>
      <c r="J256" s="6">
        <v>49</v>
      </c>
      <c r="K256">
        <v>360</v>
      </c>
      <c r="L256" s="9" t="s">
        <v>606</v>
      </c>
      <c r="M256" t="s">
        <v>649</v>
      </c>
      <c r="N256" s="19" t="s">
        <v>669</v>
      </c>
      <c r="O256" t="s">
        <v>508</v>
      </c>
      <c r="P256">
        <v>111</v>
      </c>
      <c r="Q256" t="str">
        <f t="shared" si="14"/>
        <v>Shookwat</v>
      </c>
      <c r="R256">
        <v>30</v>
      </c>
      <c r="T256">
        <v>74</v>
      </c>
      <c r="U256" s="16" t="s">
        <v>881</v>
      </c>
      <c r="W256" s="31" t="s">
        <v>823</v>
      </c>
      <c r="Z256">
        <v>157</v>
      </c>
      <c r="AA256" t="s">
        <v>38</v>
      </c>
      <c r="AB256">
        <v>15</v>
      </c>
      <c r="AC256" s="35">
        <v>4.3299999999999998E-2</v>
      </c>
      <c r="AD256" s="36">
        <f t="shared" si="15"/>
        <v>0.64949999999999997</v>
      </c>
      <c r="AF256">
        <v>248</v>
      </c>
      <c r="AG256" t="s">
        <v>1127</v>
      </c>
      <c r="AH256">
        <v>9</v>
      </c>
      <c r="AI256" s="35">
        <v>5.4000000000000003E-3</v>
      </c>
      <c r="AK256">
        <v>265</v>
      </c>
      <c r="AL256" t="s">
        <v>1306</v>
      </c>
      <c r="AM256">
        <v>1</v>
      </c>
      <c r="AN256" t="s">
        <v>1557</v>
      </c>
    </row>
    <row r="257" spans="1:40" x14ac:dyDescent="0.25">
      <c r="A257">
        <v>165</v>
      </c>
      <c r="B257">
        <v>112</v>
      </c>
      <c r="C257" t="s">
        <v>44</v>
      </c>
      <c r="D257" s="1">
        <f t="shared" si="13"/>
        <v>475</v>
      </c>
      <c r="E257" s="2">
        <v>83</v>
      </c>
      <c r="F257" s="3">
        <v>65</v>
      </c>
      <c r="G257" s="4">
        <v>92</v>
      </c>
      <c r="H257" s="5">
        <v>105</v>
      </c>
      <c r="I257" s="4">
        <v>80</v>
      </c>
      <c r="J257" s="6">
        <v>50</v>
      </c>
      <c r="K257">
        <v>475</v>
      </c>
      <c r="L257" s="9" t="s">
        <v>606</v>
      </c>
      <c r="M257" s="10" t="s">
        <v>646</v>
      </c>
      <c r="N257" s="19" t="s">
        <v>669</v>
      </c>
      <c r="O257" t="s">
        <v>529</v>
      </c>
      <c r="P257">
        <v>112</v>
      </c>
      <c r="Q257" t="str">
        <f t="shared" si="14"/>
        <v>Wattwo</v>
      </c>
      <c r="R257" t="s">
        <v>784</v>
      </c>
      <c r="T257">
        <v>75</v>
      </c>
      <c r="U257" s="16" t="s">
        <v>882</v>
      </c>
      <c r="W257" s="31" t="s">
        <v>829</v>
      </c>
      <c r="Z257">
        <v>47</v>
      </c>
      <c r="AA257" t="s">
        <v>1592</v>
      </c>
      <c r="AB257">
        <v>6</v>
      </c>
      <c r="AC257" s="35">
        <v>0.10829999999999999</v>
      </c>
      <c r="AD257" s="36">
        <f t="shared" si="15"/>
        <v>0.64979999999999993</v>
      </c>
      <c r="AF257">
        <v>253</v>
      </c>
      <c r="AG257" t="s">
        <v>1131</v>
      </c>
      <c r="AH257">
        <v>9</v>
      </c>
      <c r="AI257" s="35">
        <v>5.4000000000000003E-3</v>
      </c>
      <c r="AK257">
        <v>266</v>
      </c>
      <c r="AL257" t="s">
        <v>1307</v>
      </c>
      <c r="AM257">
        <v>1</v>
      </c>
    </row>
    <row r="258" spans="1:40" x14ac:dyDescent="0.25">
      <c r="A258">
        <v>166</v>
      </c>
      <c r="B258">
        <v>113</v>
      </c>
      <c r="C258" s="10" t="s">
        <v>483</v>
      </c>
      <c r="D258" s="1">
        <f t="shared" si="13"/>
        <v>515</v>
      </c>
      <c r="E258" s="2">
        <v>85</v>
      </c>
      <c r="F258" s="3">
        <v>65</v>
      </c>
      <c r="G258" s="4">
        <v>120</v>
      </c>
      <c r="H258" s="5">
        <v>92</v>
      </c>
      <c r="I258" s="4">
        <v>98</v>
      </c>
      <c r="J258" s="6">
        <v>55</v>
      </c>
      <c r="K258">
        <v>515</v>
      </c>
      <c r="L258" s="9" t="s">
        <v>647</v>
      </c>
      <c r="M258" s="10" t="s">
        <v>646</v>
      </c>
      <c r="N258" s="19" t="s">
        <v>669</v>
      </c>
      <c r="O258" t="s">
        <v>531</v>
      </c>
      <c r="P258">
        <v>113</v>
      </c>
      <c r="Q258" t="str">
        <f t="shared" si="14"/>
        <v>Megawatt</v>
      </c>
      <c r="T258">
        <v>76</v>
      </c>
      <c r="U258" s="16" t="s">
        <v>892</v>
      </c>
      <c r="W258" s="27" t="s">
        <v>1054</v>
      </c>
      <c r="Z258">
        <v>74</v>
      </c>
      <c r="AA258" t="s">
        <v>1612</v>
      </c>
      <c r="AB258">
        <v>10</v>
      </c>
      <c r="AC258" s="35">
        <v>6.5000000000000002E-2</v>
      </c>
      <c r="AD258" s="36">
        <f t="shared" si="15"/>
        <v>0.65</v>
      </c>
      <c r="AF258">
        <v>275</v>
      </c>
      <c r="AG258" t="s">
        <v>1160</v>
      </c>
      <c r="AH258">
        <v>9</v>
      </c>
      <c r="AI258" s="35">
        <v>5.4000000000000003E-3</v>
      </c>
      <c r="AK258">
        <v>271</v>
      </c>
      <c r="AL258" t="s">
        <v>1308</v>
      </c>
      <c r="AM258">
        <v>1</v>
      </c>
    </row>
    <row r="259" spans="1:40" x14ac:dyDescent="0.25">
      <c r="A259">
        <v>139</v>
      </c>
      <c r="B259">
        <v>114</v>
      </c>
      <c r="C259" t="s">
        <v>484</v>
      </c>
      <c r="D259" s="1">
        <f t="shared" si="13"/>
        <v>295</v>
      </c>
      <c r="E259" s="2">
        <v>54</v>
      </c>
      <c r="F259" s="3">
        <v>32</v>
      </c>
      <c r="G259" s="4">
        <v>53</v>
      </c>
      <c r="H259" s="5">
        <v>65</v>
      </c>
      <c r="I259" s="4">
        <v>58</v>
      </c>
      <c r="J259" s="6">
        <v>33</v>
      </c>
      <c r="K259">
        <v>295</v>
      </c>
      <c r="L259" s="9" t="s">
        <v>606</v>
      </c>
      <c r="M259" t="s">
        <v>677</v>
      </c>
      <c r="N259" s="19" t="s">
        <v>167</v>
      </c>
      <c r="O259" t="s">
        <v>1068</v>
      </c>
      <c r="P259">
        <v>114</v>
      </c>
      <c r="Q259" t="str">
        <f t="shared" si="14"/>
        <v>Elelamb</v>
      </c>
      <c r="R259">
        <v>28</v>
      </c>
      <c r="T259">
        <v>77</v>
      </c>
      <c r="U259" s="16" t="s">
        <v>890</v>
      </c>
      <c r="W259" s="27" t="s">
        <v>1013</v>
      </c>
      <c r="Z259">
        <v>138</v>
      </c>
      <c r="AA259" t="s">
        <v>498</v>
      </c>
      <c r="AB259">
        <v>3</v>
      </c>
      <c r="AC259" s="35">
        <v>0.2167</v>
      </c>
      <c r="AD259" s="36">
        <f t="shared" si="15"/>
        <v>0.65010000000000001</v>
      </c>
      <c r="AF259">
        <v>3</v>
      </c>
      <c r="AG259" t="s">
        <v>391</v>
      </c>
      <c r="AH259">
        <v>10</v>
      </c>
      <c r="AI259" s="35">
        <v>6.0000000000000001E-3</v>
      </c>
      <c r="AK259">
        <v>276</v>
      </c>
      <c r="AL259" t="s">
        <v>1309</v>
      </c>
      <c r="AM259">
        <v>1</v>
      </c>
    </row>
    <row r="260" spans="1:40" x14ac:dyDescent="0.25">
      <c r="A260">
        <v>140</v>
      </c>
      <c r="B260">
        <v>115</v>
      </c>
      <c r="C260" t="s">
        <v>485</v>
      </c>
      <c r="D260" s="1">
        <f t="shared" si="13"/>
        <v>355</v>
      </c>
      <c r="E260" s="2">
        <v>65</v>
      </c>
      <c r="F260" s="3">
        <v>80</v>
      </c>
      <c r="G260" s="4">
        <v>55</v>
      </c>
      <c r="H260" s="5">
        <v>45</v>
      </c>
      <c r="I260" s="4">
        <v>60</v>
      </c>
      <c r="J260" s="6">
        <v>50</v>
      </c>
      <c r="K260">
        <v>355</v>
      </c>
      <c r="L260" s="9" t="s">
        <v>606</v>
      </c>
      <c r="M260" t="s">
        <v>677</v>
      </c>
      <c r="N260" s="19" t="s">
        <v>167</v>
      </c>
      <c r="O260" t="s">
        <v>101</v>
      </c>
      <c r="P260">
        <v>115</v>
      </c>
      <c r="Q260" t="str">
        <f t="shared" si="14"/>
        <v>Electroram</v>
      </c>
      <c r="R260">
        <v>48</v>
      </c>
      <c r="T260">
        <v>78</v>
      </c>
      <c r="U260" s="16" t="s">
        <v>893</v>
      </c>
      <c r="W260" s="26" t="s">
        <v>1044</v>
      </c>
      <c r="Z260">
        <v>280</v>
      </c>
      <c r="AA260" t="s">
        <v>1197</v>
      </c>
      <c r="AB260">
        <v>8</v>
      </c>
      <c r="AC260" s="35">
        <v>8.2500000000000004E-2</v>
      </c>
      <c r="AD260" s="36">
        <f t="shared" si="15"/>
        <v>0.66</v>
      </c>
      <c r="AF260">
        <v>9</v>
      </c>
      <c r="AG260" t="s">
        <v>397</v>
      </c>
      <c r="AH260">
        <v>10</v>
      </c>
      <c r="AI260" s="35">
        <v>6.0000000000000001E-3</v>
      </c>
      <c r="AK260">
        <v>277</v>
      </c>
      <c r="AL260" t="s">
        <v>1310</v>
      </c>
      <c r="AM260">
        <v>1</v>
      </c>
    </row>
    <row r="261" spans="1:40" x14ac:dyDescent="0.25">
      <c r="A261">
        <v>141</v>
      </c>
      <c r="B261">
        <v>116</v>
      </c>
      <c r="C261" t="s">
        <v>486</v>
      </c>
      <c r="D261" s="1">
        <f t="shared" si="13"/>
        <v>520</v>
      </c>
      <c r="E261" s="2">
        <v>85</v>
      </c>
      <c r="F261" s="3">
        <v>128</v>
      </c>
      <c r="G261" s="4">
        <v>72</v>
      </c>
      <c r="H261" s="5">
        <v>60</v>
      </c>
      <c r="I261" s="4">
        <v>77</v>
      </c>
      <c r="J261" s="6">
        <v>98</v>
      </c>
      <c r="K261">
        <v>520</v>
      </c>
      <c r="L261" s="9" t="s">
        <v>613</v>
      </c>
      <c r="M261" t="s">
        <v>677</v>
      </c>
      <c r="N261" s="19" t="s">
        <v>167</v>
      </c>
      <c r="O261" t="s">
        <v>95</v>
      </c>
      <c r="P261">
        <v>116</v>
      </c>
      <c r="Q261" t="str">
        <f t="shared" si="14"/>
        <v>Superchargo</v>
      </c>
      <c r="T261">
        <v>79</v>
      </c>
      <c r="U261" s="16" t="s">
        <v>1057</v>
      </c>
      <c r="W261" s="26" t="s">
        <v>1022</v>
      </c>
      <c r="Z261">
        <v>54</v>
      </c>
      <c r="AA261" t="s">
        <v>1599</v>
      </c>
      <c r="AB261">
        <v>17</v>
      </c>
      <c r="AC261" s="35">
        <v>4.0599999999999997E-2</v>
      </c>
      <c r="AD261" s="36">
        <f t="shared" si="15"/>
        <v>0.69019999999999992</v>
      </c>
      <c r="AF261">
        <v>12</v>
      </c>
      <c r="AG261" t="s">
        <v>1574</v>
      </c>
      <c r="AH261">
        <v>10</v>
      </c>
      <c r="AI261" s="35">
        <v>6.0000000000000001E-3</v>
      </c>
      <c r="AK261">
        <v>278</v>
      </c>
      <c r="AL261" t="s">
        <v>1545</v>
      </c>
      <c r="AM261">
        <v>1</v>
      </c>
    </row>
    <row r="262" spans="1:40" x14ac:dyDescent="0.25">
      <c r="A262">
        <v>151</v>
      </c>
      <c r="B262">
        <v>117</v>
      </c>
      <c r="C262" t="s">
        <v>487</v>
      </c>
      <c r="D262" s="1">
        <f t="shared" si="13"/>
        <v>300</v>
      </c>
      <c r="E262" s="2">
        <v>34</v>
      </c>
      <c r="F262" s="3">
        <v>62</v>
      </c>
      <c r="G262" s="4">
        <v>43</v>
      </c>
      <c r="H262" s="5">
        <v>58</v>
      </c>
      <c r="I262" s="4">
        <v>44</v>
      </c>
      <c r="J262" s="6">
        <v>59</v>
      </c>
      <c r="K262">
        <v>300</v>
      </c>
      <c r="L262" s="9" t="s">
        <v>648</v>
      </c>
      <c r="M262" t="s">
        <v>649</v>
      </c>
      <c r="N262" s="19" t="s">
        <v>605</v>
      </c>
      <c r="O262" t="s">
        <v>564</v>
      </c>
      <c r="P262">
        <v>117</v>
      </c>
      <c r="Q262" t="str">
        <f t="shared" si="14"/>
        <v>Twigzap</v>
      </c>
      <c r="R262">
        <v>19</v>
      </c>
      <c r="T262">
        <v>80</v>
      </c>
      <c r="U262" s="16" t="s">
        <v>897</v>
      </c>
      <c r="W262" s="26" t="s">
        <v>1039</v>
      </c>
      <c r="Z262">
        <v>64</v>
      </c>
      <c r="AA262" t="s">
        <v>1607</v>
      </c>
      <c r="AB262">
        <v>6</v>
      </c>
      <c r="AC262" s="35">
        <v>0.1183</v>
      </c>
      <c r="AD262" s="36">
        <f t="shared" si="15"/>
        <v>0.70979999999999999</v>
      </c>
      <c r="AF262">
        <v>28</v>
      </c>
      <c r="AG262" t="s">
        <v>1588</v>
      </c>
      <c r="AH262">
        <v>10</v>
      </c>
      <c r="AI262" s="35">
        <v>6.0000000000000001E-3</v>
      </c>
      <c r="AK262">
        <v>279</v>
      </c>
      <c r="AL262" t="s">
        <v>1311</v>
      </c>
      <c r="AM262">
        <v>1</v>
      </c>
      <c r="AN262" t="s">
        <v>1557</v>
      </c>
    </row>
    <row r="263" spans="1:40" x14ac:dyDescent="0.25">
      <c r="A263">
        <v>152</v>
      </c>
      <c r="B263">
        <v>118</v>
      </c>
      <c r="C263" t="s">
        <v>488</v>
      </c>
      <c r="D263" s="1">
        <f t="shared" si="13"/>
        <v>395</v>
      </c>
      <c r="E263" s="2">
        <v>65</v>
      </c>
      <c r="F263" s="3">
        <v>94</v>
      </c>
      <c r="G263" s="4">
        <v>49</v>
      </c>
      <c r="H263" s="5">
        <v>60</v>
      </c>
      <c r="I263" s="4">
        <v>54</v>
      </c>
      <c r="J263" s="6">
        <v>73</v>
      </c>
      <c r="K263">
        <v>395</v>
      </c>
      <c r="L263" s="9" t="s">
        <v>648</v>
      </c>
      <c r="M263" t="s">
        <v>649</v>
      </c>
      <c r="N263" s="19" t="s">
        <v>605</v>
      </c>
      <c r="O263" t="s">
        <v>563</v>
      </c>
      <c r="P263">
        <v>118</v>
      </c>
      <c r="Q263" t="str">
        <f t="shared" si="14"/>
        <v>Shockbranch</v>
      </c>
      <c r="R263" t="s">
        <v>787</v>
      </c>
      <c r="T263">
        <v>81</v>
      </c>
      <c r="U263" s="16" t="s">
        <v>907</v>
      </c>
      <c r="W263" s="26" t="s">
        <v>1040</v>
      </c>
      <c r="Z263">
        <v>105</v>
      </c>
      <c r="AA263" t="s">
        <v>479</v>
      </c>
      <c r="AB263">
        <v>10</v>
      </c>
      <c r="AC263" s="35">
        <v>7.1999999999999995E-2</v>
      </c>
      <c r="AD263" s="36">
        <f t="shared" si="15"/>
        <v>0.72</v>
      </c>
      <c r="AF263">
        <v>31</v>
      </c>
      <c r="AG263" t="s">
        <v>415</v>
      </c>
      <c r="AH263">
        <v>10</v>
      </c>
      <c r="AI263" s="35">
        <v>6.0000000000000001E-3</v>
      </c>
      <c r="AK263">
        <v>280</v>
      </c>
      <c r="AL263" t="s">
        <v>1312</v>
      </c>
      <c r="AM263">
        <v>1</v>
      </c>
      <c r="AN263" t="s">
        <v>1556</v>
      </c>
    </row>
    <row r="264" spans="1:40" x14ac:dyDescent="0.25">
      <c r="A264">
        <v>153</v>
      </c>
      <c r="B264">
        <v>119</v>
      </c>
      <c r="C264" s="10" t="s">
        <v>489</v>
      </c>
      <c r="D264" s="1">
        <f t="shared" si="13"/>
        <v>500</v>
      </c>
      <c r="E264" s="2">
        <v>90</v>
      </c>
      <c r="F264" s="3">
        <v>70</v>
      </c>
      <c r="G264" s="4">
        <v>100</v>
      </c>
      <c r="H264" s="5">
        <v>85</v>
      </c>
      <c r="I264" s="4">
        <v>100</v>
      </c>
      <c r="J264" s="6">
        <v>55</v>
      </c>
      <c r="K264">
        <v>500</v>
      </c>
      <c r="L264" s="9" t="s">
        <v>648</v>
      </c>
      <c r="M264" t="s">
        <v>649</v>
      </c>
      <c r="N264" s="19" t="s">
        <v>605</v>
      </c>
      <c r="P264">
        <v>119</v>
      </c>
      <c r="Q264" t="str">
        <f t="shared" si="14"/>
        <v>Thunderzap</v>
      </c>
      <c r="T264">
        <v>82</v>
      </c>
      <c r="U264" s="16" t="s">
        <v>891</v>
      </c>
      <c r="V264" t="s">
        <v>1065</v>
      </c>
      <c r="W264" s="26" t="s">
        <v>1041</v>
      </c>
      <c r="X264" s="16" t="s">
        <v>1067</v>
      </c>
      <c r="Z264">
        <v>91</v>
      </c>
      <c r="AA264" t="s">
        <v>467</v>
      </c>
      <c r="AB264">
        <v>11</v>
      </c>
      <c r="AC264" s="35">
        <v>6.5500000000000003E-2</v>
      </c>
      <c r="AD264" s="36">
        <f t="shared" si="15"/>
        <v>0.72050000000000003</v>
      </c>
      <c r="AF264">
        <v>34</v>
      </c>
      <c r="AG264" t="s">
        <v>418</v>
      </c>
      <c r="AH264">
        <v>10</v>
      </c>
      <c r="AI264" s="35">
        <v>6.0000000000000001E-3</v>
      </c>
      <c r="AK264">
        <v>282</v>
      </c>
      <c r="AL264" t="s">
        <v>1313</v>
      </c>
      <c r="AM264">
        <v>1</v>
      </c>
      <c r="AN264" t="s">
        <v>1558</v>
      </c>
    </row>
    <row r="265" spans="1:40" x14ac:dyDescent="0.25">
      <c r="A265">
        <v>142</v>
      </c>
      <c r="B265">
        <v>120</v>
      </c>
      <c r="C265" t="s">
        <v>90</v>
      </c>
      <c r="D265" s="1">
        <f t="shared" si="13"/>
        <v>316</v>
      </c>
      <c r="E265" s="2">
        <v>30</v>
      </c>
      <c r="F265" s="3">
        <v>60</v>
      </c>
      <c r="G265" s="4">
        <v>73</v>
      </c>
      <c r="H265" s="5">
        <v>30</v>
      </c>
      <c r="I265" s="4">
        <v>65</v>
      </c>
      <c r="J265" s="6">
        <v>58</v>
      </c>
      <c r="K265">
        <v>316</v>
      </c>
      <c r="L265" s="9" t="s">
        <v>650</v>
      </c>
      <c r="M265" t="s">
        <v>661</v>
      </c>
      <c r="N265" s="19"/>
      <c r="P265">
        <v>120</v>
      </c>
      <c r="Q265" t="str">
        <f t="shared" si="14"/>
        <v>Magie</v>
      </c>
      <c r="R265">
        <v>30</v>
      </c>
      <c r="T265">
        <v>83</v>
      </c>
      <c r="U265" s="16" t="s">
        <v>874</v>
      </c>
      <c r="V265" t="s">
        <v>1065</v>
      </c>
      <c r="W265" s="29" t="s">
        <v>824</v>
      </c>
      <c r="X265" s="16" t="s">
        <v>837</v>
      </c>
      <c r="Z265">
        <v>63</v>
      </c>
      <c r="AA265" t="s">
        <v>439</v>
      </c>
      <c r="AB265">
        <v>17</v>
      </c>
      <c r="AC265" s="35">
        <v>4.24E-2</v>
      </c>
      <c r="AD265" s="36">
        <f t="shared" si="15"/>
        <v>0.7208</v>
      </c>
      <c r="AF265">
        <v>46</v>
      </c>
      <c r="AG265" t="s">
        <v>576</v>
      </c>
      <c r="AH265">
        <v>10</v>
      </c>
      <c r="AI265" s="35">
        <v>6.0000000000000001E-3</v>
      </c>
      <c r="AK265">
        <v>283</v>
      </c>
      <c r="AL265" t="s">
        <v>1314</v>
      </c>
      <c r="AM265">
        <v>1</v>
      </c>
      <c r="AN265" t="s">
        <v>1557</v>
      </c>
    </row>
    <row r="266" spans="1:40" x14ac:dyDescent="0.25">
      <c r="A266">
        <v>143</v>
      </c>
      <c r="B266">
        <v>121</v>
      </c>
      <c r="C266" t="s">
        <v>91</v>
      </c>
      <c r="D266" s="1">
        <f t="shared" si="13"/>
        <v>490</v>
      </c>
      <c r="E266" s="2">
        <v>60</v>
      </c>
      <c r="F266" s="3">
        <v>80</v>
      </c>
      <c r="G266" s="4">
        <v>95</v>
      </c>
      <c r="H266" s="5">
        <v>65</v>
      </c>
      <c r="I266" s="4">
        <v>95</v>
      </c>
      <c r="J266" s="6">
        <v>95</v>
      </c>
      <c r="K266">
        <v>490</v>
      </c>
      <c r="L266" s="9" t="s">
        <v>650</v>
      </c>
      <c r="M266" t="s">
        <v>661</v>
      </c>
      <c r="N266" s="19"/>
      <c r="P266">
        <v>121</v>
      </c>
      <c r="Q266" t="str">
        <f t="shared" si="14"/>
        <v>Cumin</v>
      </c>
      <c r="R266" t="s">
        <v>789</v>
      </c>
      <c r="T266">
        <v>84</v>
      </c>
      <c r="U266" s="16" t="s">
        <v>898</v>
      </c>
      <c r="V266" t="s">
        <v>1065</v>
      </c>
      <c r="W266" s="26" t="s">
        <v>1045</v>
      </c>
      <c r="X266" s="16" t="s">
        <v>1004</v>
      </c>
      <c r="Z266">
        <v>185</v>
      </c>
      <c r="AA266" t="s">
        <v>102</v>
      </c>
      <c r="AB266">
        <v>6</v>
      </c>
      <c r="AC266" s="35">
        <v>0.1217</v>
      </c>
      <c r="AD266" s="36">
        <f t="shared" si="15"/>
        <v>0.73019999999999996</v>
      </c>
      <c r="AF266">
        <v>58</v>
      </c>
      <c r="AG266" t="s">
        <v>1603</v>
      </c>
      <c r="AH266">
        <v>10</v>
      </c>
      <c r="AI266" s="35">
        <v>6.0000000000000001E-3</v>
      </c>
      <c r="AK266">
        <v>285</v>
      </c>
      <c r="AL266" t="s">
        <v>1546</v>
      </c>
      <c r="AM266">
        <v>1</v>
      </c>
      <c r="AN266" t="s">
        <v>1557</v>
      </c>
    </row>
    <row r="267" spans="1:40" x14ac:dyDescent="0.25">
      <c r="A267">
        <v>144</v>
      </c>
      <c r="B267">
        <v>122</v>
      </c>
      <c r="C267" t="s">
        <v>577</v>
      </c>
      <c r="D267" s="1">
        <f t="shared" si="13"/>
        <v>530</v>
      </c>
      <c r="E267" s="2">
        <v>69</v>
      </c>
      <c r="F267" s="3">
        <v>95</v>
      </c>
      <c r="G267" s="4">
        <v>97</v>
      </c>
      <c r="H267" s="5">
        <v>70</v>
      </c>
      <c r="I267" s="4">
        <v>95</v>
      </c>
      <c r="J267" s="6">
        <v>104</v>
      </c>
      <c r="K267">
        <v>530</v>
      </c>
      <c r="L267" s="9" t="s">
        <v>650</v>
      </c>
      <c r="M267" t="s">
        <v>661</v>
      </c>
      <c r="N267" s="19"/>
      <c r="P267">
        <v>122</v>
      </c>
      <c r="Q267" t="str">
        <f t="shared" si="14"/>
        <v>Cinneroph</v>
      </c>
      <c r="T267">
        <v>85</v>
      </c>
      <c r="U267" s="16" t="s">
        <v>905</v>
      </c>
      <c r="V267" t="s">
        <v>1065</v>
      </c>
      <c r="W267" s="29" t="s">
        <v>824</v>
      </c>
      <c r="X267" s="16" t="s">
        <v>834</v>
      </c>
      <c r="Z267">
        <v>261</v>
      </c>
      <c r="AA267" t="s">
        <v>1139</v>
      </c>
      <c r="AB267">
        <v>10</v>
      </c>
      <c r="AC267" s="35">
        <v>7.4999999999999997E-2</v>
      </c>
      <c r="AD267" s="36">
        <f t="shared" si="15"/>
        <v>0.75</v>
      </c>
      <c r="AF267">
        <v>61</v>
      </c>
      <c r="AG267" t="s">
        <v>1606</v>
      </c>
      <c r="AH267">
        <v>10</v>
      </c>
      <c r="AI267" s="35">
        <v>6.0000000000000001E-3</v>
      </c>
      <c r="AK267">
        <v>286</v>
      </c>
      <c r="AL267" t="s">
        <v>1315</v>
      </c>
      <c r="AM267">
        <v>1</v>
      </c>
    </row>
    <row r="268" spans="1:40" x14ac:dyDescent="0.25">
      <c r="A268">
        <v>145</v>
      </c>
      <c r="B268">
        <v>123</v>
      </c>
      <c r="C268" t="s">
        <v>490</v>
      </c>
      <c r="D268" s="1">
        <f t="shared" si="13"/>
        <v>235</v>
      </c>
      <c r="E268" s="2">
        <v>30</v>
      </c>
      <c r="F268" s="3">
        <v>45</v>
      </c>
      <c r="G268" s="4">
        <v>25</v>
      </c>
      <c r="H268" s="5">
        <v>35</v>
      </c>
      <c r="I268" s="4">
        <v>40</v>
      </c>
      <c r="J268" s="6">
        <v>60</v>
      </c>
      <c r="K268">
        <v>235</v>
      </c>
      <c r="L268" s="10" t="s">
        <v>646</v>
      </c>
      <c r="M268" t="s">
        <v>669</v>
      </c>
      <c r="N268" s="19"/>
      <c r="P268">
        <v>123</v>
      </c>
      <c r="Q268" t="str">
        <f t="shared" si="14"/>
        <v>Vupp</v>
      </c>
      <c r="R268">
        <v>30</v>
      </c>
      <c r="T268">
        <v>86</v>
      </c>
      <c r="U268" s="16" t="s">
        <v>904</v>
      </c>
      <c r="V268" t="s">
        <v>1065</v>
      </c>
      <c r="W268" s="29" t="s">
        <v>1061</v>
      </c>
      <c r="Z268">
        <v>99</v>
      </c>
      <c r="AA268" t="s">
        <v>75</v>
      </c>
      <c r="AB268">
        <v>6</v>
      </c>
      <c r="AC268" s="35">
        <v>0.1283</v>
      </c>
      <c r="AD268" s="36">
        <f t="shared" si="15"/>
        <v>0.76980000000000004</v>
      </c>
      <c r="AF268">
        <v>63</v>
      </c>
      <c r="AG268" t="s">
        <v>439</v>
      </c>
      <c r="AH268">
        <v>10</v>
      </c>
      <c r="AI268" s="35">
        <v>6.0000000000000001E-3</v>
      </c>
      <c r="AK268">
        <v>288</v>
      </c>
      <c r="AL268" t="s">
        <v>1460</v>
      </c>
      <c r="AM268">
        <v>1</v>
      </c>
      <c r="AN268" t="s">
        <v>1559</v>
      </c>
    </row>
    <row r="269" spans="1:40" x14ac:dyDescent="0.25">
      <c r="A269">
        <v>146</v>
      </c>
      <c r="B269">
        <v>124</v>
      </c>
      <c r="C269" t="s">
        <v>42</v>
      </c>
      <c r="D269" s="1">
        <f t="shared" si="13"/>
        <v>490</v>
      </c>
      <c r="E269" s="2">
        <v>75</v>
      </c>
      <c r="F269" s="3">
        <v>105</v>
      </c>
      <c r="G269" s="4">
        <v>60</v>
      </c>
      <c r="H269" s="5">
        <v>85</v>
      </c>
      <c r="I269" s="4">
        <v>60</v>
      </c>
      <c r="J269" s="6">
        <v>105</v>
      </c>
      <c r="K269">
        <v>490</v>
      </c>
      <c r="L269" s="10" t="s">
        <v>646</v>
      </c>
      <c r="M269" t="s">
        <v>669</v>
      </c>
      <c r="N269" s="19"/>
      <c r="P269">
        <v>124</v>
      </c>
      <c r="Q269" t="str">
        <f t="shared" si="14"/>
        <v>Vinnie</v>
      </c>
      <c r="R269" t="s">
        <v>786</v>
      </c>
      <c r="T269">
        <v>87</v>
      </c>
      <c r="U269" s="16" t="s">
        <v>1016</v>
      </c>
      <c r="V269" t="s">
        <v>1065</v>
      </c>
      <c r="W269" s="29" t="s">
        <v>1061</v>
      </c>
      <c r="Z269">
        <v>56</v>
      </c>
      <c r="AA269" t="s">
        <v>1601</v>
      </c>
      <c r="AB269">
        <v>14</v>
      </c>
      <c r="AC269" s="35">
        <v>5.5E-2</v>
      </c>
      <c r="AD269" s="36">
        <f t="shared" si="15"/>
        <v>0.77</v>
      </c>
      <c r="AF269">
        <v>89</v>
      </c>
      <c r="AG269" t="s">
        <v>1617</v>
      </c>
      <c r="AH269">
        <v>10</v>
      </c>
      <c r="AI269" s="35">
        <v>6.0000000000000001E-3</v>
      </c>
      <c r="AK269">
        <v>291</v>
      </c>
      <c r="AL269" t="s">
        <v>1316</v>
      </c>
      <c r="AM269">
        <v>1</v>
      </c>
    </row>
    <row r="270" spans="1:40" x14ac:dyDescent="0.25">
      <c r="A270">
        <v>147</v>
      </c>
      <c r="B270">
        <v>125</v>
      </c>
      <c r="C270" s="10" t="s">
        <v>1663</v>
      </c>
      <c r="D270" s="1">
        <f t="shared" si="13"/>
        <v>545</v>
      </c>
      <c r="E270" s="2">
        <v>75</v>
      </c>
      <c r="F270" s="3">
        <v>125</v>
      </c>
      <c r="G270" s="4">
        <v>95</v>
      </c>
      <c r="H270" s="5">
        <v>40</v>
      </c>
      <c r="I270" s="4">
        <v>85</v>
      </c>
      <c r="J270" s="6">
        <v>125</v>
      </c>
      <c r="K270">
        <v>545</v>
      </c>
      <c r="L270" s="10" t="s">
        <v>646</v>
      </c>
      <c r="M270" t="s">
        <v>669</v>
      </c>
      <c r="N270" s="19"/>
      <c r="P270">
        <v>125</v>
      </c>
      <c r="Q270" t="str">
        <f t="shared" si="14"/>
        <v>Suvirnero</v>
      </c>
      <c r="T270">
        <v>88</v>
      </c>
      <c r="U270" s="16" t="s">
        <v>1015</v>
      </c>
      <c r="V270" t="s">
        <v>1065</v>
      </c>
      <c r="W270" s="27" t="s">
        <v>1035</v>
      </c>
      <c r="X270" s="16" t="s">
        <v>1066</v>
      </c>
      <c r="Z270">
        <v>135</v>
      </c>
      <c r="AA270" t="s">
        <v>62</v>
      </c>
      <c r="AB270">
        <v>5</v>
      </c>
      <c r="AC270" s="35">
        <v>0.154</v>
      </c>
      <c r="AD270" s="36">
        <f t="shared" si="15"/>
        <v>0.77</v>
      </c>
      <c r="AF270">
        <v>96</v>
      </c>
      <c r="AG270" t="s">
        <v>1620</v>
      </c>
      <c r="AH270">
        <v>10</v>
      </c>
      <c r="AI270" s="35">
        <v>6.0000000000000001E-3</v>
      </c>
      <c r="AK270">
        <v>292</v>
      </c>
      <c r="AL270" t="s">
        <v>1317</v>
      </c>
      <c r="AM270">
        <v>1</v>
      </c>
    </row>
    <row r="271" spans="1:40" x14ac:dyDescent="0.25">
      <c r="A271">
        <v>148</v>
      </c>
      <c r="B271">
        <v>126</v>
      </c>
      <c r="C271" t="s">
        <v>491</v>
      </c>
      <c r="D271" s="1">
        <f t="shared" si="13"/>
        <v>245</v>
      </c>
      <c r="E271" s="2">
        <v>35</v>
      </c>
      <c r="F271" s="3">
        <v>65</v>
      </c>
      <c r="G271" s="4">
        <v>45</v>
      </c>
      <c r="H271" s="5">
        <v>15</v>
      </c>
      <c r="I271" s="4">
        <v>40</v>
      </c>
      <c r="J271" s="6">
        <v>45</v>
      </c>
      <c r="K271">
        <v>245</v>
      </c>
      <c r="L271" s="9" t="s">
        <v>622</v>
      </c>
      <c r="M271" t="s">
        <v>608</v>
      </c>
      <c r="N271" s="19"/>
      <c r="P271">
        <v>126</v>
      </c>
      <c r="Q271" t="str">
        <f t="shared" si="14"/>
        <v>Whiskie</v>
      </c>
      <c r="R271">
        <v>30</v>
      </c>
      <c r="T271">
        <v>89</v>
      </c>
      <c r="U271" s="16" t="s">
        <v>1014</v>
      </c>
      <c r="V271" t="s">
        <v>1065</v>
      </c>
      <c r="W271" s="27" t="s">
        <v>1004</v>
      </c>
      <c r="X271" s="16" t="s">
        <v>837</v>
      </c>
      <c r="Z271">
        <v>153</v>
      </c>
      <c r="AA271" t="s">
        <v>511</v>
      </c>
      <c r="AB271">
        <v>6</v>
      </c>
      <c r="AC271" s="35">
        <v>0.13</v>
      </c>
      <c r="AD271" s="36">
        <f t="shared" si="15"/>
        <v>0.78</v>
      </c>
      <c r="AF271">
        <v>122</v>
      </c>
      <c r="AG271" t="s">
        <v>577</v>
      </c>
      <c r="AH271">
        <v>10</v>
      </c>
      <c r="AI271" s="35">
        <v>6.0000000000000001E-3</v>
      </c>
      <c r="AK271">
        <v>307</v>
      </c>
      <c r="AL271" t="s">
        <v>1210</v>
      </c>
      <c r="AM271">
        <v>1</v>
      </c>
    </row>
    <row r="272" spans="1:40" x14ac:dyDescent="0.25">
      <c r="A272">
        <v>149</v>
      </c>
      <c r="B272">
        <v>127</v>
      </c>
      <c r="C272" t="s">
        <v>492</v>
      </c>
      <c r="D272" s="1">
        <f t="shared" si="13"/>
        <v>475</v>
      </c>
      <c r="E272" s="2">
        <v>95</v>
      </c>
      <c r="F272" s="3">
        <v>125</v>
      </c>
      <c r="G272" s="4">
        <v>105</v>
      </c>
      <c r="H272" s="5">
        <v>25</v>
      </c>
      <c r="I272" s="4">
        <v>75</v>
      </c>
      <c r="J272" s="6">
        <v>50</v>
      </c>
      <c r="K272">
        <v>475</v>
      </c>
      <c r="L272" s="9" t="s">
        <v>622</v>
      </c>
      <c r="M272" t="s">
        <v>608</v>
      </c>
      <c r="N272" s="19"/>
      <c r="P272">
        <v>127</v>
      </c>
      <c r="Q272" t="str">
        <f t="shared" si="14"/>
        <v>Whiskers</v>
      </c>
      <c r="R272" t="s">
        <v>786</v>
      </c>
      <c r="T272">
        <v>90</v>
      </c>
      <c r="Z272">
        <v>241</v>
      </c>
      <c r="AA272" t="s">
        <v>1117</v>
      </c>
      <c r="AB272">
        <v>8</v>
      </c>
      <c r="AC272" s="35">
        <v>9.8699999999999996E-2</v>
      </c>
      <c r="AD272" s="36">
        <f t="shared" si="15"/>
        <v>0.78959999999999997</v>
      </c>
      <c r="AF272">
        <v>128</v>
      </c>
      <c r="AG272" t="s">
        <v>493</v>
      </c>
      <c r="AH272">
        <v>10</v>
      </c>
      <c r="AI272" s="35">
        <v>6.0000000000000001E-3</v>
      </c>
      <c r="AK272">
        <v>308</v>
      </c>
      <c r="AL272" t="s">
        <v>1245</v>
      </c>
      <c r="AM272">
        <v>1</v>
      </c>
    </row>
    <row r="273" spans="1:39" x14ac:dyDescent="0.25">
      <c r="A273">
        <v>150</v>
      </c>
      <c r="B273">
        <v>128</v>
      </c>
      <c r="C273" t="s">
        <v>493</v>
      </c>
      <c r="D273" s="1">
        <f t="shared" si="13"/>
        <v>540</v>
      </c>
      <c r="E273" s="2">
        <v>95</v>
      </c>
      <c r="F273" s="3">
        <v>130</v>
      </c>
      <c r="G273" s="4">
        <v>100</v>
      </c>
      <c r="H273" s="5">
        <v>85</v>
      </c>
      <c r="I273" s="4">
        <v>75</v>
      </c>
      <c r="J273" s="6">
        <v>55</v>
      </c>
      <c r="K273">
        <v>540</v>
      </c>
      <c r="L273" s="9" t="s">
        <v>599</v>
      </c>
      <c r="M273" t="s">
        <v>608</v>
      </c>
      <c r="N273" s="19"/>
      <c r="P273">
        <v>128</v>
      </c>
      <c r="Q273" t="str">
        <f t="shared" si="14"/>
        <v>Whiskeroar</v>
      </c>
      <c r="T273">
        <v>91</v>
      </c>
      <c r="Z273">
        <v>161</v>
      </c>
      <c r="AA273" t="s">
        <v>514</v>
      </c>
      <c r="AB273">
        <v>20</v>
      </c>
      <c r="AC273" s="35">
        <v>3.95E-2</v>
      </c>
      <c r="AD273" s="36">
        <f t="shared" si="15"/>
        <v>0.79</v>
      </c>
      <c r="AF273">
        <v>137</v>
      </c>
      <c r="AG273" t="s">
        <v>497</v>
      </c>
      <c r="AH273">
        <v>10</v>
      </c>
      <c r="AI273" s="35">
        <v>6.0000000000000001E-3</v>
      </c>
      <c r="AK273">
        <v>310</v>
      </c>
      <c r="AL273" t="s">
        <v>1243</v>
      </c>
      <c r="AM273">
        <v>1</v>
      </c>
    </row>
    <row r="274" spans="1:39" x14ac:dyDescent="0.25">
      <c r="A274">
        <v>78</v>
      </c>
      <c r="B274">
        <v>129</v>
      </c>
      <c r="C274" t="s">
        <v>580</v>
      </c>
      <c r="D274" s="1">
        <f t="shared" ref="D274:D337" si="16">SUM($E274:$J274)</f>
        <v>266</v>
      </c>
      <c r="E274" s="2">
        <v>31</v>
      </c>
      <c r="F274" s="3">
        <v>45</v>
      </c>
      <c r="G274" s="4">
        <v>90</v>
      </c>
      <c r="H274" s="5">
        <v>30</v>
      </c>
      <c r="I274" s="4">
        <v>30</v>
      </c>
      <c r="J274" s="6">
        <v>40</v>
      </c>
      <c r="K274">
        <v>266</v>
      </c>
      <c r="L274" s="9" t="s">
        <v>651</v>
      </c>
      <c r="M274" t="s">
        <v>865</v>
      </c>
      <c r="N274" s="19"/>
      <c r="P274">
        <v>129</v>
      </c>
      <c r="Q274" t="str">
        <f t="shared" ref="Q274:Q337" si="17">C274</f>
        <v>Nincada</v>
      </c>
      <c r="R274">
        <v>20</v>
      </c>
      <c r="T274">
        <v>92</v>
      </c>
      <c r="Z274">
        <v>249</v>
      </c>
      <c r="AA274" t="s">
        <v>1128</v>
      </c>
      <c r="AB274">
        <v>6</v>
      </c>
      <c r="AC274" s="35">
        <v>0.13500000000000001</v>
      </c>
      <c r="AD274" s="36">
        <f t="shared" si="15"/>
        <v>0.81</v>
      </c>
      <c r="AF274">
        <v>142</v>
      </c>
      <c r="AG274" t="s">
        <v>501</v>
      </c>
      <c r="AH274">
        <v>10</v>
      </c>
      <c r="AI274" s="35">
        <v>6.0000000000000001E-3</v>
      </c>
      <c r="AK274">
        <v>313</v>
      </c>
      <c r="AL274" t="s">
        <v>1321</v>
      </c>
      <c r="AM274">
        <v>1</v>
      </c>
    </row>
    <row r="275" spans="1:39" x14ac:dyDescent="0.25">
      <c r="A275">
        <v>79</v>
      </c>
      <c r="B275">
        <v>130</v>
      </c>
      <c r="C275" t="s">
        <v>581</v>
      </c>
      <c r="D275" s="1">
        <f t="shared" si="16"/>
        <v>456</v>
      </c>
      <c r="E275" s="2">
        <v>61</v>
      </c>
      <c r="F275" s="3">
        <v>90</v>
      </c>
      <c r="G275" s="4">
        <v>45</v>
      </c>
      <c r="H275" s="5">
        <v>50</v>
      </c>
      <c r="I275" s="4">
        <v>50</v>
      </c>
      <c r="J275" s="6">
        <v>160</v>
      </c>
      <c r="K275">
        <v>456</v>
      </c>
      <c r="L275" s="9" t="s">
        <v>613</v>
      </c>
      <c r="M275" t="s">
        <v>865</v>
      </c>
      <c r="N275" s="19"/>
      <c r="P275">
        <v>130</v>
      </c>
      <c r="Q275" t="str">
        <f t="shared" si="17"/>
        <v>Ninjask</v>
      </c>
      <c r="T275">
        <v>201</v>
      </c>
      <c r="Z275">
        <v>89</v>
      </c>
      <c r="AA275" t="s">
        <v>1617</v>
      </c>
      <c r="AB275">
        <v>8</v>
      </c>
      <c r="AC275" s="35">
        <v>0.1013</v>
      </c>
      <c r="AD275" s="36">
        <f t="shared" si="15"/>
        <v>0.81040000000000001</v>
      </c>
      <c r="AF275">
        <v>145</v>
      </c>
      <c r="AG275" t="s">
        <v>503</v>
      </c>
      <c r="AH275">
        <v>10</v>
      </c>
      <c r="AI275" s="35">
        <v>6.0000000000000001E-3</v>
      </c>
      <c r="AK275">
        <v>314</v>
      </c>
      <c r="AL275" t="s">
        <v>1269</v>
      </c>
      <c r="AM275">
        <v>1</v>
      </c>
    </row>
    <row r="276" spans="1:39" x14ac:dyDescent="0.25">
      <c r="A276">
        <v>80</v>
      </c>
      <c r="B276">
        <v>131</v>
      </c>
      <c r="C276" t="s">
        <v>579</v>
      </c>
      <c r="D276" s="1">
        <f t="shared" si="16"/>
        <v>236</v>
      </c>
      <c r="E276" s="2">
        <v>1</v>
      </c>
      <c r="F276" s="3">
        <v>90</v>
      </c>
      <c r="G276" s="4">
        <v>45</v>
      </c>
      <c r="H276" s="5">
        <v>30</v>
      </c>
      <c r="I276" s="4">
        <v>30</v>
      </c>
      <c r="J276" s="6">
        <v>40</v>
      </c>
      <c r="K276">
        <v>236</v>
      </c>
      <c r="L276" s="9" t="s">
        <v>652</v>
      </c>
      <c r="N276" s="19"/>
      <c r="P276">
        <v>131</v>
      </c>
      <c r="Q276" t="str">
        <f t="shared" si="17"/>
        <v>Shedinja</v>
      </c>
      <c r="R276" t="s">
        <v>790</v>
      </c>
      <c r="T276">
        <v>202</v>
      </c>
      <c r="U276" s="16" t="s">
        <v>908</v>
      </c>
      <c r="W276" s="25" t="s">
        <v>1033</v>
      </c>
      <c r="Y276" t="s">
        <v>972</v>
      </c>
      <c r="Z276">
        <v>108</v>
      </c>
      <c r="AA276" t="s">
        <v>480</v>
      </c>
      <c r="AB276">
        <v>9</v>
      </c>
      <c r="AC276" s="35">
        <v>9.11E-2</v>
      </c>
      <c r="AD276" s="36">
        <f t="shared" si="15"/>
        <v>0.81989999999999996</v>
      </c>
      <c r="AF276">
        <v>147</v>
      </c>
      <c r="AG276" t="s">
        <v>505</v>
      </c>
      <c r="AH276">
        <v>10</v>
      </c>
      <c r="AI276" s="35">
        <v>6.0000000000000001E-3</v>
      </c>
      <c r="AK276">
        <v>315</v>
      </c>
      <c r="AL276" t="s">
        <v>1212</v>
      </c>
      <c r="AM276">
        <v>1</v>
      </c>
    </row>
    <row r="277" spans="1:39" x14ac:dyDescent="0.25">
      <c r="A277">
        <v>192</v>
      </c>
      <c r="B277">
        <v>132</v>
      </c>
      <c r="C277" t="s">
        <v>494</v>
      </c>
      <c r="D277" s="1">
        <f t="shared" si="16"/>
        <v>280</v>
      </c>
      <c r="E277" s="2">
        <v>58</v>
      </c>
      <c r="F277" s="3">
        <v>29</v>
      </c>
      <c r="G277" s="4">
        <v>71</v>
      </c>
      <c r="H277" s="5">
        <v>31</v>
      </c>
      <c r="I277" s="4">
        <v>58</v>
      </c>
      <c r="J277" s="6">
        <v>33</v>
      </c>
      <c r="K277">
        <v>280</v>
      </c>
      <c r="L277" s="9" t="s">
        <v>614</v>
      </c>
      <c r="M277" t="s">
        <v>656</v>
      </c>
      <c r="N277" s="19"/>
      <c r="P277">
        <v>132</v>
      </c>
      <c r="Q277" t="str">
        <f t="shared" si="17"/>
        <v>Sheltor</v>
      </c>
      <c r="R277" t="s">
        <v>792</v>
      </c>
      <c r="T277">
        <v>203</v>
      </c>
      <c r="U277" s="16" t="s">
        <v>909</v>
      </c>
      <c r="W277" s="25" t="s">
        <v>1029</v>
      </c>
      <c r="Y277" t="s">
        <v>973</v>
      </c>
      <c r="Z277">
        <v>51</v>
      </c>
      <c r="AA277" t="s">
        <v>1596</v>
      </c>
      <c r="AB277">
        <v>13</v>
      </c>
      <c r="AC277" s="35">
        <v>6.3100000000000003E-2</v>
      </c>
      <c r="AD277" s="36">
        <f t="shared" si="15"/>
        <v>0.82030000000000003</v>
      </c>
      <c r="AF277">
        <v>155</v>
      </c>
      <c r="AG277" t="s">
        <v>513</v>
      </c>
      <c r="AH277">
        <v>10</v>
      </c>
      <c r="AI277" s="35">
        <v>6.0000000000000001E-3</v>
      </c>
      <c r="AK277">
        <v>316</v>
      </c>
      <c r="AL277" t="s">
        <v>1253</v>
      </c>
      <c r="AM277">
        <v>1</v>
      </c>
    </row>
    <row r="278" spans="1:39" x14ac:dyDescent="0.25">
      <c r="A278">
        <v>193</v>
      </c>
      <c r="B278">
        <v>133</v>
      </c>
      <c r="C278" s="10" t="s">
        <v>495</v>
      </c>
      <c r="D278" s="1">
        <f t="shared" si="16"/>
        <v>474</v>
      </c>
      <c r="E278" s="2">
        <v>67</v>
      </c>
      <c r="F278" s="3">
        <v>61</v>
      </c>
      <c r="G278" s="4">
        <v>75</v>
      </c>
      <c r="H278" s="5">
        <v>97</v>
      </c>
      <c r="I278" s="4">
        <v>91</v>
      </c>
      <c r="J278" s="6">
        <v>83</v>
      </c>
      <c r="K278">
        <v>474</v>
      </c>
      <c r="L278" s="9" t="s">
        <v>614</v>
      </c>
      <c r="M278" t="s">
        <v>656</v>
      </c>
      <c r="N278" s="19"/>
      <c r="P278">
        <v>133</v>
      </c>
      <c r="Q278" t="str">
        <f t="shared" si="17"/>
        <v>Shelnado</v>
      </c>
      <c r="T278">
        <v>204</v>
      </c>
      <c r="U278" s="16" t="s">
        <v>910</v>
      </c>
      <c r="W278" s="25" t="s">
        <v>1028</v>
      </c>
      <c r="Y278" t="s">
        <v>974</v>
      </c>
      <c r="Z278">
        <v>79</v>
      </c>
      <c r="AA278" t="s">
        <v>1614</v>
      </c>
      <c r="AB278">
        <v>11</v>
      </c>
      <c r="AC278" s="35">
        <v>7.6399999999999996E-2</v>
      </c>
      <c r="AD278" s="36">
        <f t="shared" si="15"/>
        <v>0.84039999999999992</v>
      </c>
      <c r="AF278">
        <v>173</v>
      </c>
      <c r="AG278" t="s">
        <v>522</v>
      </c>
      <c r="AH278">
        <v>10</v>
      </c>
      <c r="AI278" s="35">
        <v>6.0000000000000001E-3</v>
      </c>
      <c r="AK278">
        <v>317</v>
      </c>
      <c r="AL278" t="s">
        <v>1223</v>
      </c>
      <c r="AM278">
        <v>1</v>
      </c>
    </row>
    <row r="279" spans="1:39" x14ac:dyDescent="0.25">
      <c r="A279">
        <v>154</v>
      </c>
      <c r="B279">
        <v>134</v>
      </c>
      <c r="C279" t="s">
        <v>496</v>
      </c>
      <c r="D279" s="1">
        <f t="shared" si="16"/>
        <v>200</v>
      </c>
      <c r="E279" s="2">
        <v>34</v>
      </c>
      <c r="F279" s="3">
        <v>14</v>
      </c>
      <c r="G279" s="4">
        <v>20</v>
      </c>
      <c r="H279" s="5">
        <v>27</v>
      </c>
      <c r="I279" s="4">
        <v>90</v>
      </c>
      <c r="J279" s="6">
        <v>15</v>
      </c>
      <c r="K279">
        <v>200</v>
      </c>
      <c r="L279" s="9" t="s">
        <v>654</v>
      </c>
      <c r="M279" t="s">
        <v>653</v>
      </c>
      <c r="N279" s="19"/>
      <c r="P279">
        <v>134</v>
      </c>
      <c r="Q279" t="str">
        <f t="shared" si="17"/>
        <v>Lilyray</v>
      </c>
      <c r="R279" t="s">
        <v>786</v>
      </c>
      <c r="T279">
        <v>205</v>
      </c>
      <c r="U279" s="16" t="s">
        <v>925</v>
      </c>
      <c r="W279" s="29" t="s">
        <v>1060</v>
      </c>
      <c r="Y279" t="s">
        <v>968</v>
      </c>
      <c r="Z279">
        <v>48</v>
      </c>
      <c r="AA279" t="s">
        <v>1593</v>
      </c>
      <c r="AB279">
        <v>5</v>
      </c>
      <c r="AC279" s="35">
        <v>0.17199999999999999</v>
      </c>
      <c r="AD279" s="36">
        <f t="shared" si="15"/>
        <v>0.85999999999999988</v>
      </c>
      <c r="AF279">
        <v>178</v>
      </c>
      <c r="AG279" t="s">
        <v>524</v>
      </c>
      <c r="AH279">
        <v>10</v>
      </c>
      <c r="AI279" s="35">
        <v>6.0000000000000001E-3</v>
      </c>
      <c r="AK279">
        <v>318</v>
      </c>
      <c r="AL279" t="s">
        <v>1319</v>
      </c>
      <c r="AM279">
        <v>1</v>
      </c>
    </row>
    <row r="280" spans="1:39" x14ac:dyDescent="0.25">
      <c r="A280">
        <v>155</v>
      </c>
      <c r="B280">
        <v>135</v>
      </c>
      <c r="C280" t="s">
        <v>62</v>
      </c>
      <c r="D280" s="1">
        <f t="shared" si="16"/>
        <v>400</v>
      </c>
      <c r="E280" s="2">
        <v>100</v>
      </c>
      <c r="F280" s="3">
        <v>28</v>
      </c>
      <c r="G280" s="4">
        <v>45</v>
      </c>
      <c r="H280" s="5">
        <v>72</v>
      </c>
      <c r="I280" s="4">
        <v>110</v>
      </c>
      <c r="J280" s="6">
        <v>45</v>
      </c>
      <c r="K280">
        <v>400</v>
      </c>
      <c r="L280" s="9" t="s">
        <v>654</v>
      </c>
      <c r="M280" t="s">
        <v>653</v>
      </c>
      <c r="N280" s="19"/>
      <c r="P280">
        <v>135</v>
      </c>
      <c r="Q280" t="str">
        <f t="shared" si="17"/>
        <v>Daray</v>
      </c>
      <c r="R280">
        <v>27</v>
      </c>
      <c r="T280">
        <v>206</v>
      </c>
      <c r="U280" s="16" t="s">
        <v>911</v>
      </c>
      <c r="W280" s="27" t="s">
        <v>1050</v>
      </c>
      <c r="Z280">
        <v>206</v>
      </c>
      <c r="AA280" t="s">
        <v>1622</v>
      </c>
      <c r="AB280">
        <v>7</v>
      </c>
      <c r="AC280" s="35">
        <v>0.12709999999999999</v>
      </c>
      <c r="AD280" s="36">
        <f t="shared" si="15"/>
        <v>0.88969999999999994</v>
      </c>
      <c r="AF280">
        <v>180</v>
      </c>
      <c r="AG280" t="s">
        <v>526</v>
      </c>
      <c r="AH280">
        <v>10</v>
      </c>
      <c r="AI280" s="35">
        <v>6.0000000000000001E-3</v>
      </c>
      <c r="AK280">
        <v>319</v>
      </c>
      <c r="AL280" t="s">
        <v>1320</v>
      </c>
      <c r="AM280">
        <v>1</v>
      </c>
    </row>
    <row r="281" spans="1:39" x14ac:dyDescent="0.25">
      <c r="A281">
        <v>156</v>
      </c>
      <c r="B281">
        <v>136</v>
      </c>
      <c r="C281" s="10" t="s">
        <v>63</v>
      </c>
      <c r="D281" s="1">
        <f t="shared" si="16"/>
        <v>495</v>
      </c>
      <c r="E281" s="2">
        <v>100</v>
      </c>
      <c r="F281" s="3">
        <v>90</v>
      </c>
      <c r="G281" s="4">
        <v>66</v>
      </c>
      <c r="H281" s="5">
        <v>74</v>
      </c>
      <c r="I281" s="4">
        <v>84</v>
      </c>
      <c r="J281" s="6">
        <v>81</v>
      </c>
      <c r="K281">
        <v>495</v>
      </c>
      <c r="L281" s="15" t="s">
        <v>633</v>
      </c>
      <c r="M281" t="s">
        <v>653</v>
      </c>
      <c r="N281" s="19"/>
      <c r="P281">
        <v>136</v>
      </c>
      <c r="Q281" t="str">
        <f t="shared" si="17"/>
        <v>Spinaquata</v>
      </c>
      <c r="T281">
        <v>207</v>
      </c>
      <c r="U281" s="16" t="s">
        <v>926</v>
      </c>
      <c r="W281" s="27" t="s">
        <v>1004</v>
      </c>
      <c r="Y281" t="s">
        <v>966</v>
      </c>
      <c r="Z281">
        <v>227</v>
      </c>
      <c r="AA281" t="s">
        <v>562</v>
      </c>
      <c r="AB281">
        <v>7</v>
      </c>
      <c r="AC281" s="35">
        <v>0.12709999999999999</v>
      </c>
      <c r="AD281" s="36">
        <f t="shared" si="15"/>
        <v>0.88969999999999994</v>
      </c>
      <c r="AF281">
        <v>192</v>
      </c>
      <c r="AG281" t="s">
        <v>798</v>
      </c>
      <c r="AH281">
        <v>10</v>
      </c>
      <c r="AI281" s="35">
        <v>6.0000000000000001E-3</v>
      </c>
      <c r="AK281">
        <v>320</v>
      </c>
      <c r="AL281" t="s">
        <v>1213</v>
      </c>
      <c r="AM281">
        <v>1</v>
      </c>
    </row>
    <row r="282" spans="1:39" x14ac:dyDescent="0.25">
      <c r="A282">
        <v>167</v>
      </c>
      <c r="B282">
        <v>137</v>
      </c>
      <c r="C282" t="s">
        <v>497</v>
      </c>
      <c r="D282" s="1">
        <f t="shared" si="16"/>
        <v>200</v>
      </c>
      <c r="E282" s="2">
        <v>20</v>
      </c>
      <c r="F282" s="3">
        <v>10</v>
      </c>
      <c r="G282" s="4">
        <v>55</v>
      </c>
      <c r="H282" s="5">
        <v>15</v>
      </c>
      <c r="I282" s="4">
        <v>20</v>
      </c>
      <c r="J282" s="6">
        <v>80</v>
      </c>
      <c r="K282">
        <v>200</v>
      </c>
      <c r="L282" s="9" t="s">
        <v>614</v>
      </c>
      <c r="M282" t="s">
        <v>645</v>
      </c>
      <c r="N282" s="19"/>
      <c r="P282">
        <v>137</v>
      </c>
      <c r="Q282" t="str">
        <f t="shared" si="17"/>
        <v>Magikarp</v>
      </c>
      <c r="R282">
        <v>20</v>
      </c>
      <c r="T282">
        <v>208</v>
      </c>
      <c r="U282" s="16" t="s">
        <v>927</v>
      </c>
      <c r="W282" s="26" t="s">
        <v>1042</v>
      </c>
      <c r="Y282" t="s">
        <v>969</v>
      </c>
      <c r="Z282">
        <v>276</v>
      </c>
      <c r="AA282" t="s">
        <v>1161</v>
      </c>
      <c r="AB282">
        <v>6</v>
      </c>
      <c r="AC282" s="35">
        <v>0.14829999999999999</v>
      </c>
      <c r="AD282" s="36">
        <f t="shared" si="15"/>
        <v>0.88979999999999992</v>
      </c>
      <c r="AF282">
        <v>216</v>
      </c>
      <c r="AG282" t="s">
        <v>552</v>
      </c>
      <c r="AH282">
        <v>10</v>
      </c>
      <c r="AI282" s="35">
        <v>6.0000000000000001E-3</v>
      </c>
      <c r="AK282">
        <v>321</v>
      </c>
      <c r="AL282" t="s">
        <v>1405</v>
      </c>
      <c r="AM282">
        <v>1</v>
      </c>
    </row>
    <row r="283" spans="1:39" x14ac:dyDescent="0.25">
      <c r="A283">
        <v>168</v>
      </c>
      <c r="B283">
        <v>138</v>
      </c>
      <c r="C283" s="10" t="s">
        <v>498</v>
      </c>
      <c r="D283" s="1">
        <f t="shared" si="16"/>
        <v>540</v>
      </c>
      <c r="E283" s="2">
        <v>95</v>
      </c>
      <c r="F283" s="3">
        <v>125</v>
      </c>
      <c r="G283" s="4">
        <v>79</v>
      </c>
      <c r="H283" s="5">
        <v>60</v>
      </c>
      <c r="I283" s="4">
        <v>100</v>
      </c>
      <c r="J283" s="6">
        <v>81</v>
      </c>
      <c r="K283">
        <v>540</v>
      </c>
      <c r="L283" s="9" t="s">
        <v>621</v>
      </c>
      <c r="M283" t="s">
        <v>608</v>
      </c>
      <c r="N283" s="19"/>
      <c r="P283">
        <v>138</v>
      </c>
      <c r="Q283" t="str">
        <f t="shared" si="17"/>
        <v>Gyarados</v>
      </c>
      <c r="T283">
        <v>209</v>
      </c>
      <c r="U283" s="16" t="s">
        <v>912</v>
      </c>
      <c r="W283" s="25" t="s">
        <v>1002</v>
      </c>
      <c r="Y283" t="s">
        <v>982</v>
      </c>
      <c r="Z283">
        <v>195</v>
      </c>
      <c r="AA283" t="s">
        <v>531</v>
      </c>
      <c r="AB283">
        <v>8</v>
      </c>
      <c r="AC283" s="35">
        <v>0.1113</v>
      </c>
      <c r="AD283" s="36">
        <f t="shared" si="15"/>
        <v>0.89039999999999997</v>
      </c>
      <c r="AF283">
        <v>225</v>
      </c>
      <c r="AG283" t="s">
        <v>1627</v>
      </c>
      <c r="AH283">
        <v>10</v>
      </c>
      <c r="AI283" s="35">
        <v>6.0000000000000001E-3</v>
      </c>
      <c r="AK283">
        <v>322</v>
      </c>
      <c r="AL283" t="s">
        <v>1410</v>
      </c>
      <c r="AM283">
        <v>1</v>
      </c>
    </row>
    <row r="284" spans="1:39" x14ac:dyDescent="0.25">
      <c r="A284">
        <v>182</v>
      </c>
      <c r="B284">
        <v>139</v>
      </c>
      <c r="C284" t="s">
        <v>499</v>
      </c>
      <c r="D284" s="1">
        <f t="shared" si="16"/>
        <v>340</v>
      </c>
      <c r="E284" s="2">
        <v>30</v>
      </c>
      <c r="F284" s="3">
        <v>45</v>
      </c>
      <c r="G284" s="4">
        <v>55</v>
      </c>
      <c r="H284" s="5">
        <v>70</v>
      </c>
      <c r="I284" s="4">
        <v>55</v>
      </c>
      <c r="J284" s="6">
        <v>85</v>
      </c>
      <c r="K284">
        <v>340</v>
      </c>
      <c r="L284" s="9" t="s">
        <v>1096</v>
      </c>
      <c r="M284" t="s">
        <v>602</v>
      </c>
      <c r="N284" s="19" t="s">
        <v>656</v>
      </c>
      <c r="P284">
        <v>139</v>
      </c>
      <c r="Q284" t="str">
        <f t="shared" si="17"/>
        <v>Staryu</v>
      </c>
      <c r="R284" t="s">
        <v>792</v>
      </c>
      <c r="T284">
        <v>210</v>
      </c>
      <c r="U284" s="16" t="s">
        <v>913</v>
      </c>
      <c r="W284" s="26" t="s">
        <v>1043</v>
      </c>
      <c r="Z284">
        <v>281</v>
      </c>
      <c r="AA284" t="s">
        <v>1174</v>
      </c>
      <c r="AB284">
        <v>8</v>
      </c>
      <c r="AC284" s="35">
        <v>0.1113</v>
      </c>
      <c r="AD284" s="36">
        <f t="shared" si="15"/>
        <v>0.89039999999999997</v>
      </c>
      <c r="AF284">
        <v>246</v>
      </c>
      <c r="AG284" t="s">
        <v>1124</v>
      </c>
      <c r="AH284">
        <v>10</v>
      </c>
      <c r="AI284" s="35">
        <v>6.0000000000000001E-3</v>
      </c>
      <c r="AK284">
        <v>323</v>
      </c>
      <c r="AL284" t="s">
        <v>1363</v>
      </c>
      <c r="AM284">
        <v>1</v>
      </c>
    </row>
    <row r="285" spans="1:39" x14ac:dyDescent="0.25">
      <c r="A285">
        <v>183</v>
      </c>
      <c r="B285">
        <v>140</v>
      </c>
      <c r="C285" t="s">
        <v>500</v>
      </c>
      <c r="D285" s="1">
        <f t="shared" si="16"/>
        <v>520</v>
      </c>
      <c r="E285" s="2">
        <v>60</v>
      </c>
      <c r="F285" s="3">
        <v>75</v>
      </c>
      <c r="G285" s="4">
        <v>85</v>
      </c>
      <c r="H285" s="5">
        <v>100</v>
      </c>
      <c r="I285" s="4">
        <v>85</v>
      </c>
      <c r="J285" s="6">
        <v>115</v>
      </c>
      <c r="K285">
        <v>520</v>
      </c>
      <c r="L285" s="9" t="s">
        <v>1096</v>
      </c>
      <c r="M285" t="s">
        <v>602</v>
      </c>
      <c r="N285" s="19" t="s">
        <v>656</v>
      </c>
      <c r="P285">
        <v>140</v>
      </c>
      <c r="Q285" t="str">
        <f t="shared" si="17"/>
        <v>Starmie</v>
      </c>
      <c r="T285">
        <v>211</v>
      </c>
      <c r="U285" s="16" t="s">
        <v>914</v>
      </c>
      <c r="W285" s="27" t="s">
        <v>1004</v>
      </c>
      <c r="Z285">
        <v>60</v>
      </c>
      <c r="AA285" t="s">
        <v>1605</v>
      </c>
      <c r="AB285">
        <v>17</v>
      </c>
      <c r="AC285" s="35">
        <v>5.2400000000000002E-2</v>
      </c>
      <c r="AD285" s="36">
        <f t="shared" si="15"/>
        <v>0.89080000000000004</v>
      </c>
      <c r="AF285">
        <v>258</v>
      </c>
      <c r="AG285" t="s">
        <v>1136</v>
      </c>
      <c r="AH285">
        <v>10</v>
      </c>
      <c r="AI285" s="35">
        <v>6.0000000000000001E-3</v>
      </c>
      <c r="AK285">
        <v>324</v>
      </c>
      <c r="AL285" t="s">
        <v>1354</v>
      </c>
      <c r="AM285">
        <v>1</v>
      </c>
    </row>
    <row r="286" spans="1:39" x14ac:dyDescent="0.25">
      <c r="A286">
        <v>212</v>
      </c>
      <c r="B286">
        <v>141</v>
      </c>
      <c r="C286" t="s">
        <v>66</v>
      </c>
      <c r="D286" s="1">
        <f t="shared" si="16"/>
        <v>450</v>
      </c>
      <c r="E286" s="2">
        <v>90</v>
      </c>
      <c r="F286" s="3">
        <v>120</v>
      </c>
      <c r="G286" s="4">
        <v>80</v>
      </c>
      <c r="H286" s="5">
        <v>45</v>
      </c>
      <c r="I286" s="4">
        <v>55</v>
      </c>
      <c r="J286" s="6">
        <v>60</v>
      </c>
      <c r="K286">
        <v>450</v>
      </c>
      <c r="L286" s="9" t="s">
        <v>1148</v>
      </c>
      <c r="M286" t="s">
        <v>655</v>
      </c>
      <c r="N286" s="19"/>
      <c r="P286">
        <v>141</v>
      </c>
      <c r="Q286" t="str">
        <f t="shared" si="17"/>
        <v>Ali</v>
      </c>
      <c r="R286" t="s">
        <v>791</v>
      </c>
      <c r="T286">
        <v>212</v>
      </c>
      <c r="U286" s="16" t="s">
        <v>915</v>
      </c>
      <c r="W286" s="25" t="s">
        <v>1028</v>
      </c>
      <c r="Z286">
        <v>133</v>
      </c>
      <c r="AA286" t="s">
        <v>495</v>
      </c>
      <c r="AB286">
        <v>5</v>
      </c>
      <c r="AC286" s="35">
        <v>0.18</v>
      </c>
      <c r="AD286" s="36">
        <f t="shared" ref="AD286:AD325" si="18">AC286*AB286</f>
        <v>0.89999999999999991</v>
      </c>
      <c r="AF286">
        <v>294</v>
      </c>
      <c r="AG286" t="s">
        <v>1192</v>
      </c>
      <c r="AH286">
        <v>10</v>
      </c>
      <c r="AI286" s="35">
        <v>6.0000000000000001E-3</v>
      </c>
      <c r="AK286">
        <v>325</v>
      </c>
      <c r="AL286" t="s">
        <v>1365</v>
      </c>
      <c r="AM286">
        <v>1</v>
      </c>
    </row>
    <row r="287" spans="1:39" x14ac:dyDescent="0.25">
      <c r="A287">
        <v>213</v>
      </c>
      <c r="B287">
        <v>142</v>
      </c>
      <c r="C287" s="10" t="s">
        <v>501</v>
      </c>
      <c r="D287" s="1">
        <f t="shared" si="16"/>
        <v>540</v>
      </c>
      <c r="E287" s="2">
        <v>105</v>
      </c>
      <c r="F287" s="3">
        <v>130</v>
      </c>
      <c r="G287" s="4">
        <v>80</v>
      </c>
      <c r="H287" s="5">
        <v>75</v>
      </c>
      <c r="I287" s="4">
        <v>55</v>
      </c>
      <c r="J287" s="6">
        <v>95</v>
      </c>
      <c r="K287">
        <v>540</v>
      </c>
      <c r="L287" s="9" t="s">
        <v>1148</v>
      </c>
      <c r="M287" t="s">
        <v>655</v>
      </c>
      <c r="N287" s="19"/>
      <c r="P287">
        <v>142</v>
      </c>
      <c r="Q287" t="str">
        <f t="shared" si="17"/>
        <v>Batorali</v>
      </c>
      <c r="T287">
        <v>213</v>
      </c>
      <c r="U287" s="16" t="s">
        <v>916</v>
      </c>
      <c r="W287" s="25" t="s">
        <v>1028</v>
      </c>
      <c r="Z287">
        <v>159</v>
      </c>
      <c r="AA287" t="s">
        <v>40</v>
      </c>
      <c r="AB287">
        <v>20</v>
      </c>
      <c r="AC287" s="35">
        <v>4.65E-2</v>
      </c>
      <c r="AD287" s="36">
        <f t="shared" si="18"/>
        <v>0.92999999999999994</v>
      </c>
      <c r="AF287">
        <v>40</v>
      </c>
      <c r="AG287" t="s">
        <v>424</v>
      </c>
      <c r="AH287">
        <v>11</v>
      </c>
      <c r="AI287" s="35">
        <v>6.6E-3</v>
      </c>
      <c r="AK287">
        <v>326</v>
      </c>
      <c r="AL287" t="s">
        <v>1336</v>
      </c>
      <c r="AM287">
        <v>1</v>
      </c>
    </row>
    <row r="288" spans="1:39" x14ac:dyDescent="0.25">
      <c r="A288">
        <v>159</v>
      </c>
      <c r="B288">
        <v>143</v>
      </c>
      <c r="C288" t="s">
        <v>502</v>
      </c>
      <c r="D288" s="1">
        <f t="shared" si="16"/>
        <v>295</v>
      </c>
      <c r="E288" s="2">
        <v>35</v>
      </c>
      <c r="F288" s="3">
        <v>35</v>
      </c>
      <c r="G288" s="4">
        <v>35</v>
      </c>
      <c r="H288" s="5">
        <v>100</v>
      </c>
      <c r="I288" s="4">
        <v>45</v>
      </c>
      <c r="J288" s="6">
        <v>45</v>
      </c>
      <c r="K288">
        <v>295</v>
      </c>
      <c r="L288" s="9" t="s">
        <v>656</v>
      </c>
      <c r="M288" t="s">
        <v>610</v>
      </c>
      <c r="N288" s="19"/>
      <c r="P288">
        <v>143</v>
      </c>
      <c r="Q288" t="str">
        <f t="shared" si="17"/>
        <v>Posho</v>
      </c>
      <c r="R288" t="s">
        <v>794</v>
      </c>
      <c r="T288">
        <v>214</v>
      </c>
      <c r="U288" s="16" t="s">
        <v>917</v>
      </c>
      <c r="W288" s="29" t="s">
        <v>1062</v>
      </c>
      <c r="Z288">
        <v>170</v>
      </c>
      <c r="AA288" t="s">
        <v>519</v>
      </c>
      <c r="AB288">
        <v>12</v>
      </c>
      <c r="AC288" s="35">
        <v>7.9200000000000007E-2</v>
      </c>
      <c r="AD288" s="36">
        <f t="shared" si="18"/>
        <v>0.95040000000000013</v>
      </c>
      <c r="AF288">
        <v>56</v>
      </c>
      <c r="AG288" t="s">
        <v>1601</v>
      </c>
      <c r="AH288">
        <v>11</v>
      </c>
      <c r="AI288" s="35">
        <v>6.6E-3</v>
      </c>
      <c r="AK288">
        <v>327</v>
      </c>
      <c r="AL288" t="s">
        <v>1396</v>
      </c>
      <c r="AM288">
        <v>1</v>
      </c>
    </row>
    <row r="289" spans="1:40" x14ac:dyDescent="0.25">
      <c r="A289">
        <v>160</v>
      </c>
      <c r="B289">
        <v>144</v>
      </c>
      <c r="C289" t="s">
        <v>67</v>
      </c>
      <c r="D289" s="1">
        <f t="shared" si="16"/>
        <v>460</v>
      </c>
      <c r="E289" s="2">
        <v>81</v>
      </c>
      <c r="F289" s="3">
        <v>93</v>
      </c>
      <c r="G289" s="4">
        <v>63</v>
      </c>
      <c r="H289" s="5">
        <v>93</v>
      </c>
      <c r="I289" s="4">
        <v>70</v>
      </c>
      <c r="J289" s="6">
        <v>60</v>
      </c>
      <c r="K289">
        <v>460</v>
      </c>
      <c r="L289" s="9" t="s">
        <v>614</v>
      </c>
      <c r="M289" t="s">
        <v>657</v>
      </c>
      <c r="N289" s="19"/>
      <c r="P289">
        <v>144</v>
      </c>
      <c r="Q289" t="str">
        <f t="shared" si="17"/>
        <v>Shomp</v>
      </c>
      <c r="R289" t="s">
        <v>792</v>
      </c>
      <c r="T289">
        <v>215</v>
      </c>
      <c r="U289" s="16" t="s">
        <v>918</v>
      </c>
      <c r="W289" s="26" t="s">
        <v>1051</v>
      </c>
      <c r="Z289">
        <v>203</v>
      </c>
      <c r="AA289" t="s">
        <v>539</v>
      </c>
      <c r="AB289">
        <v>7</v>
      </c>
      <c r="AC289" s="35">
        <v>0.1371</v>
      </c>
      <c r="AD289" s="36">
        <f t="shared" si="18"/>
        <v>0.9597</v>
      </c>
      <c r="AF289">
        <v>72</v>
      </c>
      <c r="AG289" t="s">
        <v>448</v>
      </c>
      <c r="AH289">
        <v>11</v>
      </c>
      <c r="AI289" s="35">
        <v>6.6E-3</v>
      </c>
      <c r="AK289">
        <v>328</v>
      </c>
      <c r="AL289" t="s">
        <v>1359</v>
      </c>
      <c r="AM289">
        <v>1</v>
      </c>
    </row>
    <row r="290" spans="1:40" x14ac:dyDescent="0.25">
      <c r="A290">
        <v>161</v>
      </c>
      <c r="B290">
        <v>145</v>
      </c>
      <c r="C290" s="10" t="s">
        <v>503</v>
      </c>
      <c r="D290" s="1">
        <f t="shared" si="16"/>
        <v>560</v>
      </c>
      <c r="E290" s="2">
        <v>100</v>
      </c>
      <c r="F290" s="3">
        <v>95</v>
      </c>
      <c r="G290" s="4">
        <v>90</v>
      </c>
      <c r="H290" s="5">
        <v>95</v>
      </c>
      <c r="I290" s="4">
        <v>90</v>
      </c>
      <c r="J290" s="6">
        <v>90</v>
      </c>
      <c r="K290">
        <v>560</v>
      </c>
      <c r="L290" s="9" t="s">
        <v>614</v>
      </c>
      <c r="M290" t="s">
        <v>610</v>
      </c>
      <c r="N290" s="19"/>
      <c r="P290">
        <v>145</v>
      </c>
      <c r="Q290" t="str">
        <f t="shared" si="17"/>
        <v>Poshorump</v>
      </c>
      <c r="T290">
        <v>216</v>
      </c>
      <c r="U290" s="16" t="s">
        <v>919</v>
      </c>
      <c r="W290" s="25" t="s">
        <v>1003</v>
      </c>
      <c r="Z290">
        <v>96</v>
      </c>
      <c r="AA290" t="s">
        <v>1620</v>
      </c>
      <c r="AB290">
        <v>8</v>
      </c>
      <c r="AC290" s="35">
        <v>0.12</v>
      </c>
      <c r="AD290" s="36">
        <f t="shared" si="18"/>
        <v>0.96</v>
      </c>
      <c r="AF290">
        <v>138</v>
      </c>
      <c r="AG290" t="s">
        <v>498</v>
      </c>
      <c r="AH290">
        <v>11</v>
      </c>
      <c r="AI290" s="35">
        <v>6.6E-3</v>
      </c>
      <c r="AK290">
        <v>329</v>
      </c>
      <c r="AL290" t="s">
        <v>1337</v>
      </c>
      <c r="AM290">
        <v>1</v>
      </c>
    </row>
    <row r="291" spans="1:40" x14ac:dyDescent="0.25">
      <c r="A291">
        <v>174</v>
      </c>
      <c r="B291">
        <v>146</v>
      </c>
      <c r="C291" t="s">
        <v>504</v>
      </c>
      <c r="D291" s="1">
        <f t="shared" si="16"/>
        <v>306</v>
      </c>
      <c r="E291" s="2">
        <v>42</v>
      </c>
      <c r="F291" s="3">
        <v>52</v>
      </c>
      <c r="G291" s="4">
        <v>67</v>
      </c>
      <c r="H291" s="5">
        <v>39</v>
      </c>
      <c r="I291" s="4">
        <v>56</v>
      </c>
      <c r="J291" s="6">
        <v>50</v>
      </c>
      <c r="K291">
        <v>306</v>
      </c>
      <c r="L291" s="9" t="s">
        <v>650</v>
      </c>
      <c r="M291" t="s">
        <v>657</v>
      </c>
      <c r="N291" s="19"/>
      <c r="P291">
        <v>146</v>
      </c>
      <c r="Q291" t="str">
        <f t="shared" si="17"/>
        <v>Binacle</v>
      </c>
      <c r="R291">
        <v>39</v>
      </c>
      <c r="T291">
        <v>217</v>
      </c>
      <c r="U291" s="16" t="s">
        <v>920</v>
      </c>
      <c r="W291" s="25" t="s">
        <v>1027</v>
      </c>
      <c r="Z291">
        <v>53</v>
      </c>
      <c r="AA291" t="s">
        <v>1598</v>
      </c>
      <c r="AB291">
        <v>16</v>
      </c>
      <c r="AC291" s="35">
        <v>6.0600000000000001E-2</v>
      </c>
      <c r="AD291" s="36">
        <f t="shared" si="18"/>
        <v>0.96960000000000002</v>
      </c>
      <c r="AF291">
        <v>150</v>
      </c>
      <c r="AG291" t="s">
        <v>508</v>
      </c>
      <c r="AH291">
        <v>11</v>
      </c>
      <c r="AI291" s="35">
        <v>6.6E-3</v>
      </c>
      <c r="AK291">
        <v>330</v>
      </c>
      <c r="AL291" t="s">
        <v>1351</v>
      </c>
      <c r="AM291">
        <v>1</v>
      </c>
    </row>
    <row r="292" spans="1:40" x14ac:dyDescent="0.25">
      <c r="A292">
        <v>175</v>
      </c>
      <c r="B292">
        <v>147</v>
      </c>
      <c r="C292" s="10" t="s">
        <v>505</v>
      </c>
      <c r="D292" s="1">
        <f t="shared" si="16"/>
        <v>500</v>
      </c>
      <c r="E292" s="2">
        <v>72</v>
      </c>
      <c r="F292" s="3">
        <v>105</v>
      </c>
      <c r="G292" s="4">
        <v>115</v>
      </c>
      <c r="H292" s="5">
        <v>54</v>
      </c>
      <c r="I292" s="4">
        <v>86</v>
      </c>
      <c r="J292" s="6">
        <v>68</v>
      </c>
      <c r="K292">
        <v>500</v>
      </c>
      <c r="L292" s="9" t="s">
        <v>650</v>
      </c>
      <c r="M292" t="s">
        <v>657</v>
      </c>
      <c r="N292" s="19"/>
      <c r="P292">
        <v>147</v>
      </c>
      <c r="Q292" t="str">
        <f t="shared" si="17"/>
        <v>Barbaracle</v>
      </c>
      <c r="T292">
        <v>218</v>
      </c>
      <c r="U292" s="16" t="s">
        <v>921</v>
      </c>
      <c r="W292" s="26" t="s">
        <v>1036</v>
      </c>
      <c r="Z292">
        <v>180</v>
      </c>
      <c r="AA292" t="s">
        <v>526</v>
      </c>
      <c r="AB292">
        <v>18</v>
      </c>
      <c r="AC292" s="35">
        <v>5.3900000000000003E-2</v>
      </c>
      <c r="AD292" s="36">
        <f t="shared" si="18"/>
        <v>0.97020000000000006</v>
      </c>
      <c r="AF292">
        <v>152</v>
      </c>
      <c r="AG292" t="s">
        <v>510</v>
      </c>
      <c r="AH292">
        <v>11</v>
      </c>
      <c r="AI292" s="35">
        <v>6.6E-3</v>
      </c>
      <c r="AK292">
        <v>331</v>
      </c>
      <c r="AL292" t="s">
        <v>1361</v>
      </c>
      <c r="AM292">
        <v>1</v>
      </c>
    </row>
    <row r="293" spans="1:40" x14ac:dyDescent="0.25">
      <c r="A293">
        <v>176</v>
      </c>
      <c r="B293">
        <v>148</v>
      </c>
      <c r="C293" t="s">
        <v>506</v>
      </c>
      <c r="D293" s="1">
        <f t="shared" si="16"/>
        <v>345</v>
      </c>
      <c r="E293" s="2">
        <v>55</v>
      </c>
      <c r="F293" s="3">
        <v>60</v>
      </c>
      <c r="G293" s="4">
        <v>64</v>
      </c>
      <c r="H293" s="5">
        <v>62</v>
      </c>
      <c r="I293" s="4">
        <v>55</v>
      </c>
      <c r="J293" s="6">
        <v>49</v>
      </c>
      <c r="K293">
        <v>345</v>
      </c>
      <c r="L293" s="9" t="s">
        <v>1096</v>
      </c>
      <c r="M293" t="s">
        <v>658</v>
      </c>
      <c r="N293" s="19"/>
      <c r="P293">
        <v>148</v>
      </c>
      <c r="Q293" t="str">
        <f t="shared" si="17"/>
        <v>Durfish</v>
      </c>
      <c r="R293" t="s">
        <v>792</v>
      </c>
      <c r="T293">
        <v>219</v>
      </c>
      <c r="U293" s="16" t="s">
        <v>922</v>
      </c>
      <c r="W293" s="27" t="s">
        <v>1004</v>
      </c>
      <c r="Z293">
        <v>200</v>
      </c>
      <c r="AA293" t="s">
        <v>536</v>
      </c>
      <c r="AB293">
        <v>6</v>
      </c>
      <c r="AC293" s="35">
        <v>0.16170000000000001</v>
      </c>
      <c r="AD293" s="36">
        <f t="shared" si="18"/>
        <v>0.97020000000000006</v>
      </c>
      <c r="AF293">
        <v>168</v>
      </c>
      <c r="AG293" t="s">
        <v>70</v>
      </c>
      <c r="AH293">
        <v>11</v>
      </c>
      <c r="AI293" s="35">
        <v>6.6E-3</v>
      </c>
      <c r="AK293">
        <v>332</v>
      </c>
      <c r="AL293" t="s">
        <v>1369</v>
      </c>
      <c r="AM293">
        <v>1</v>
      </c>
    </row>
    <row r="294" spans="1:40" x14ac:dyDescent="0.25">
      <c r="A294">
        <v>177</v>
      </c>
      <c r="B294">
        <v>149</v>
      </c>
      <c r="C294" t="s">
        <v>507</v>
      </c>
      <c r="D294" s="1">
        <f t="shared" si="16"/>
        <v>485</v>
      </c>
      <c r="E294" s="2">
        <v>70</v>
      </c>
      <c r="F294" s="3">
        <v>115</v>
      </c>
      <c r="G294" s="4">
        <v>100</v>
      </c>
      <c r="H294" s="5">
        <v>60</v>
      </c>
      <c r="I294" s="4">
        <v>80</v>
      </c>
      <c r="J294" s="6">
        <v>60</v>
      </c>
      <c r="K294">
        <v>485</v>
      </c>
      <c r="L294" s="9" t="s">
        <v>1096</v>
      </c>
      <c r="M294" t="s">
        <v>658</v>
      </c>
      <c r="N294" s="19"/>
      <c r="P294">
        <v>149</v>
      </c>
      <c r="Q294" t="str">
        <f t="shared" si="17"/>
        <v>Dompster</v>
      </c>
      <c r="T294">
        <v>220</v>
      </c>
      <c r="U294" s="16" t="s">
        <v>923</v>
      </c>
      <c r="W294" s="27" t="s">
        <v>1052</v>
      </c>
      <c r="Z294">
        <v>256</v>
      </c>
      <c r="AA294" t="s">
        <v>1134</v>
      </c>
      <c r="AB294">
        <v>9</v>
      </c>
      <c r="AC294" s="35">
        <v>0.1089</v>
      </c>
      <c r="AD294" s="36">
        <f t="shared" si="18"/>
        <v>0.98009999999999997</v>
      </c>
      <c r="AF294">
        <v>214</v>
      </c>
      <c r="AG294" t="s">
        <v>550</v>
      </c>
      <c r="AH294">
        <v>11</v>
      </c>
      <c r="AI294" s="35">
        <v>6.6E-3</v>
      </c>
      <c r="AK294">
        <v>333</v>
      </c>
      <c r="AL294" t="s">
        <v>1345</v>
      </c>
      <c r="AM294">
        <v>1</v>
      </c>
    </row>
    <row r="295" spans="1:40" x14ac:dyDescent="0.25">
      <c r="A295">
        <v>217</v>
      </c>
      <c r="B295">
        <v>150</v>
      </c>
      <c r="C295" t="s">
        <v>508</v>
      </c>
      <c r="D295" s="1">
        <f t="shared" si="16"/>
        <v>350</v>
      </c>
      <c r="E295" s="2">
        <v>40</v>
      </c>
      <c r="F295" s="3">
        <v>40</v>
      </c>
      <c r="G295" s="4">
        <v>75</v>
      </c>
      <c r="H295" s="5">
        <v>55</v>
      </c>
      <c r="I295" s="4">
        <v>50</v>
      </c>
      <c r="J295" s="6">
        <v>90</v>
      </c>
      <c r="K295">
        <v>350</v>
      </c>
      <c r="L295" s="9" t="s">
        <v>632</v>
      </c>
      <c r="M295" t="s">
        <v>656</v>
      </c>
      <c r="N295" s="19"/>
      <c r="P295">
        <v>150</v>
      </c>
      <c r="Q295" t="str">
        <f t="shared" si="17"/>
        <v>Kissyfishy</v>
      </c>
      <c r="T295">
        <v>221</v>
      </c>
      <c r="U295" s="16" t="s">
        <v>924</v>
      </c>
      <c r="W295" s="26" t="s">
        <v>1053</v>
      </c>
      <c r="Z295">
        <v>198</v>
      </c>
      <c r="AA295" t="s">
        <v>534</v>
      </c>
      <c r="AB295">
        <v>7</v>
      </c>
      <c r="AC295" s="35">
        <v>0.15429999999999999</v>
      </c>
      <c r="AD295" s="36">
        <f t="shared" si="18"/>
        <v>1.0800999999999998</v>
      </c>
      <c r="AF295">
        <v>245</v>
      </c>
      <c r="AG295" t="s">
        <v>1123</v>
      </c>
      <c r="AH295">
        <v>11</v>
      </c>
      <c r="AI295" s="35">
        <v>6.6E-3</v>
      </c>
      <c r="AK295">
        <v>335</v>
      </c>
      <c r="AL295" t="s">
        <v>1338</v>
      </c>
      <c r="AM295">
        <v>1</v>
      </c>
    </row>
    <row r="296" spans="1:40" x14ac:dyDescent="0.25">
      <c r="A296">
        <v>44</v>
      </c>
      <c r="B296">
        <v>151</v>
      </c>
      <c r="C296" t="s">
        <v>509</v>
      </c>
      <c r="D296" s="1">
        <f t="shared" si="16"/>
        <v>288</v>
      </c>
      <c r="E296" s="2">
        <v>35</v>
      </c>
      <c r="F296" s="3">
        <v>60</v>
      </c>
      <c r="G296" s="4">
        <v>44</v>
      </c>
      <c r="H296" s="5">
        <v>40</v>
      </c>
      <c r="I296" s="4">
        <v>54</v>
      </c>
      <c r="J296" s="6">
        <v>55</v>
      </c>
      <c r="K296">
        <v>288</v>
      </c>
      <c r="L296" s="9" t="s">
        <v>621</v>
      </c>
      <c r="M296" t="s">
        <v>620</v>
      </c>
      <c r="N296" s="19" t="s">
        <v>1093</v>
      </c>
      <c r="P296">
        <v>151</v>
      </c>
      <c r="Q296" t="str">
        <f t="shared" si="17"/>
        <v>Ekans</v>
      </c>
      <c r="R296">
        <v>22</v>
      </c>
      <c r="T296">
        <v>222</v>
      </c>
      <c r="U296" s="16" t="s">
        <v>928</v>
      </c>
      <c r="W296" s="25" t="s">
        <v>1023</v>
      </c>
      <c r="X296" t="s">
        <v>998</v>
      </c>
      <c r="Z296">
        <v>210</v>
      </c>
      <c r="AA296" t="s">
        <v>546</v>
      </c>
      <c r="AB296">
        <v>5</v>
      </c>
      <c r="AC296" s="35">
        <v>0.22</v>
      </c>
      <c r="AD296" s="36">
        <f t="shared" si="18"/>
        <v>1.1000000000000001</v>
      </c>
      <c r="AF296">
        <v>256</v>
      </c>
      <c r="AG296" t="s">
        <v>1134</v>
      </c>
      <c r="AH296">
        <v>11</v>
      </c>
      <c r="AI296" s="35">
        <v>6.6E-3</v>
      </c>
      <c r="AK296">
        <v>336</v>
      </c>
      <c r="AL296" t="s">
        <v>1332</v>
      </c>
      <c r="AM296">
        <v>1</v>
      </c>
    </row>
    <row r="297" spans="1:40" x14ac:dyDescent="0.25">
      <c r="A297">
        <v>45</v>
      </c>
      <c r="B297">
        <v>152</v>
      </c>
      <c r="C297" t="s">
        <v>510</v>
      </c>
      <c r="D297" s="1">
        <f t="shared" si="16"/>
        <v>455</v>
      </c>
      <c r="E297" s="2">
        <v>60</v>
      </c>
      <c r="F297" s="3">
        <v>110</v>
      </c>
      <c r="G297" s="4">
        <v>70</v>
      </c>
      <c r="H297" s="5">
        <v>55</v>
      </c>
      <c r="I297" s="4">
        <v>80</v>
      </c>
      <c r="J297" s="6">
        <v>80</v>
      </c>
      <c r="K297">
        <v>455</v>
      </c>
      <c r="L297" s="9" t="s">
        <v>621</v>
      </c>
      <c r="M297" t="s">
        <v>620</v>
      </c>
      <c r="N297" s="19" t="s">
        <v>1093</v>
      </c>
      <c r="P297">
        <v>152</v>
      </c>
      <c r="Q297" t="str">
        <f t="shared" si="17"/>
        <v>Arbok</v>
      </c>
      <c r="T297">
        <v>223</v>
      </c>
      <c r="U297" s="16" t="s">
        <v>929</v>
      </c>
      <c r="W297" s="25" t="s">
        <v>1023</v>
      </c>
      <c r="X297" t="s">
        <v>998</v>
      </c>
      <c r="Z297">
        <v>218</v>
      </c>
      <c r="AA297" t="s">
        <v>554</v>
      </c>
      <c r="AB297">
        <v>6</v>
      </c>
      <c r="AC297" s="35">
        <v>0.185</v>
      </c>
      <c r="AD297" s="36">
        <f t="shared" si="18"/>
        <v>1.1099999999999999</v>
      </c>
      <c r="AF297">
        <v>264</v>
      </c>
      <c r="AG297" t="s">
        <v>1153</v>
      </c>
      <c r="AH297">
        <v>11</v>
      </c>
      <c r="AI297" s="35">
        <v>6.6E-3</v>
      </c>
      <c r="AK297">
        <v>337</v>
      </c>
      <c r="AL297" t="s">
        <v>1335</v>
      </c>
      <c r="AM297">
        <v>1</v>
      </c>
    </row>
    <row r="298" spans="1:40" x14ac:dyDescent="0.25">
      <c r="A298">
        <v>119</v>
      </c>
      <c r="B298">
        <v>153</v>
      </c>
      <c r="C298" t="s">
        <v>511</v>
      </c>
      <c r="D298" s="1">
        <f t="shared" si="16"/>
        <v>245</v>
      </c>
      <c r="E298" s="2">
        <v>40</v>
      </c>
      <c r="F298" s="3">
        <v>45</v>
      </c>
      <c r="G298" s="4">
        <v>35</v>
      </c>
      <c r="H298" s="5">
        <v>30</v>
      </c>
      <c r="I298" s="4">
        <v>40</v>
      </c>
      <c r="J298" s="6">
        <v>55</v>
      </c>
      <c r="K298">
        <v>245</v>
      </c>
      <c r="L298" s="9" t="s">
        <v>655</v>
      </c>
      <c r="M298" t="s">
        <v>659</v>
      </c>
      <c r="N298" s="19" t="s">
        <v>1114</v>
      </c>
      <c r="P298">
        <v>153</v>
      </c>
      <c r="Q298" t="str">
        <f t="shared" si="17"/>
        <v>Zubat</v>
      </c>
      <c r="R298">
        <v>22</v>
      </c>
      <c r="T298">
        <v>224</v>
      </c>
      <c r="U298" s="16" t="s">
        <v>930</v>
      </c>
      <c r="W298" s="25" t="s">
        <v>1023</v>
      </c>
      <c r="X298" t="s">
        <v>998</v>
      </c>
      <c r="Z298">
        <v>68</v>
      </c>
      <c r="AA298" t="s">
        <v>444</v>
      </c>
      <c r="AB298">
        <v>5</v>
      </c>
      <c r="AC298" s="35">
        <v>0.22600000000000001</v>
      </c>
      <c r="AD298" s="36">
        <f t="shared" si="18"/>
        <v>1.1300000000000001</v>
      </c>
      <c r="AF298">
        <v>6</v>
      </c>
      <c r="AG298" t="s">
        <v>394</v>
      </c>
      <c r="AH298">
        <v>12</v>
      </c>
      <c r="AI298" s="35">
        <v>7.1999999999999998E-3</v>
      </c>
      <c r="AK298">
        <v>338</v>
      </c>
      <c r="AL298" t="s">
        <v>1355</v>
      </c>
      <c r="AM298">
        <v>1</v>
      </c>
    </row>
    <row r="299" spans="1:40" x14ac:dyDescent="0.25">
      <c r="A299">
        <v>120</v>
      </c>
      <c r="B299">
        <v>154</v>
      </c>
      <c r="C299" t="s">
        <v>512</v>
      </c>
      <c r="D299" s="1">
        <f t="shared" si="16"/>
        <v>455</v>
      </c>
      <c r="E299" s="2">
        <v>75</v>
      </c>
      <c r="F299" s="3">
        <v>80</v>
      </c>
      <c r="G299" s="4">
        <v>70</v>
      </c>
      <c r="H299" s="5">
        <v>65</v>
      </c>
      <c r="I299" s="4">
        <v>75</v>
      </c>
      <c r="J299" s="6">
        <v>90</v>
      </c>
      <c r="K299">
        <v>455</v>
      </c>
      <c r="L299" s="9" t="s">
        <v>655</v>
      </c>
      <c r="M299" t="s">
        <v>659</v>
      </c>
      <c r="N299" s="19" t="s">
        <v>1114</v>
      </c>
      <c r="P299">
        <v>154</v>
      </c>
      <c r="Q299" t="str">
        <f t="shared" si="17"/>
        <v>Golbat</v>
      </c>
      <c r="R299" t="s">
        <v>786</v>
      </c>
      <c r="T299">
        <v>225</v>
      </c>
      <c r="U299" s="16" t="s">
        <v>931</v>
      </c>
      <c r="W299" s="25" t="s">
        <v>826</v>
      </c>
      <c r="X299" t="s">
        <v>998</v>
      </c>
      <c r="Z299">
        <v>267</v>
      </c>
      <c r="AA299" t="s">
        <v>1151</v>
      </c>
      <c r="AB299">
        <v>9</v>
      </c>
      <c r="AC299" s="35">
        <v>0.13220000000000001</v>
      </c>
      <c r="AD299" s="36">
        <f t="shared" si="18"/>
        <v>1.1898000000000002</v>
      </c>
      <c r="AF299">
        <v>79</v>
      </c>
      <c r="AG299" t="s">
        <v>1614</v>
      </c>
      <c r="AH299">
        <v>12</v>
      </c>
      <c r="AI299" s="35">
        <v>7.1999999999999998E-3</v>
      </c>
      <c r="AK299">
        <v>339</v>
      </c>
      <c r="AL299" t="s">
        <v>1348</v>
      </c>
      <c r="AM299">
        <v>1</v>
      </c>
    </row>
    <row r="300" spans="1:40" x14ac:dyDescent="0.25">
      <c r="A300">
        <v>121</v>
      </c>
      <c r="B300">
        <v>155</v>
      </c>
      <c r="C300" t="s">
        <v>513</v>
      </c>
      <c r="D300" s="1">
        <f t="shared" si="16"/>
        <v>535</v>
      </c>
      <c r="E300" s="2">
        <v>85</v>
      </c>
      <c r="F300" s="3">
        <v>90</v>
      </c>
      <c r="G300" s="4">
        <v>80</v>
      </c>
      <c r="H300" s="5">
        <v>70</v>
      </c>
      <c r="I300" s="4">
        <v>80</v>
      </c>
      <c r="J300" s="6">
        <v>130</v>
      </c>
      <c r="K300">
        <v>535</v>
      </c>
      <c r="L300" s="9" t="s">
        <v>655</v>
      </c>
      <c r="M300" t="s">
        <v>659</v>
      </c>
      <c r="N300" s="19" t="s">
        <v>1114</v>
      </c>
      <c r="P300">
        <v>155</v>
      </c>
      <c r="Q300" t="str">
        <f t="shared" si="17"/>
        <v>Crobat</v>
      </c>
      <c r="T300">
        <v>226</v>
      </c>
      <c r="U300" s="16" t="s">
        <v>932</v>
      </c>
      <c r="W300" s="25" t="s">
        <v>1024</v>
      </c>
      <c r="X300" t="s">
        <v>998</v>
      </c>
      <c r="Z300">
        <v>101</v>
      </c>
      <c r="AA300" t="s">
        <v>475</v>
      </c>
      <c r="AB300">
        <v>5</v>
      </c>
      <c r="AC300" s="35">
        <v>0.24</v>
      </c>
      <c r="AD300" s="36">
        <f t="shared" si="18"/>
        <v>1.2</v>
      </c>
      <c r="AF300">
        <v>87</v>
      </c>
      <c r="AG300" t="s">
        <v>463</v>
      </c>
      <c r="AH300">
        <v>12</v>
      </c>
      <c r="AI300" s="35">
        <v>7.1999999999999998E-3</v>
      </c>
      <c r="AK300">
        <v>340</v>
      </c>
      <c r="AL300" t="s">
        <v>1340</v>
      </c>
      <c r="AM300">
        <v>1</v>
      </c>
    </row>
    <row r="301" spans="1:40" x14ac:dyDescent="0.25">
      <c r="A301">
        <v>194</v>
      </c>
      <c r="B301">
        <v>156</v>
      </c>
      <c r="C301" t="s">
        <v>37</v>
      </c>
      <c r="D301" s="1">
        <f t="shared" si="16"/>
        <v>400</v>
      </c>
      <c r="E301" s="2">
        <v>55</v>
      </c>
      <c r="F301" s="3">
        <v>60</v>
      </c>
      <c r="G301" s="4">
        <v>80</v>
      </c>
      <c r="H301" s="5">
        <v>75</v>
      </c>
      <c r="I301" s="4">
        <v>65</v>
      </c>
      <c r="J301" s="6">
        <v>65</v>
      </c>
      <c r="K301">
        <v>400</v>
      </c>
      <c r="L301" s="9" t="s">
        <v>660</v>
      </c>
      <c r="M301" t="s">
        <v>607</v>
      </c>
      <c r="N301" s="19" t="s">
        <v>1096</v>
      </c>
      <c r="P301">
        <v>156</v>
      </c>
      <c r="Q301" t="str">
        <f t="shared" si="17"/>
        <v>Poof</v>
      </c>
      <c r="R301">
        <v>25</v>
      </c>
      <c r="T301">
        <v>227</v>
      </c>
      <c r="U301" s="16" t="s">
        <v>936</v>
      </c>
      <c r="W301" s="30" t="s">
        <v>822</v>
      </c>
      <c r="X301" s="23" t="s">
        <v>1001</v>
      </c>
      <c r="Z301">
        <v>220</v>
      </c>
      <c r="AA301" t="s">
        <v>556</v>
      </c>
      <c r="AB301">
        <v>9</v>
      </c>
      <c r="AC301" s="35">
        <v>0.1389</v>
      </c>
      <c r="AD301" s="36">
        <f t="shared" si="18"/>
        <v>1.2501</v>
      </c>
      <c r="AF301">
        <v>100</v>
      </c>
      <c r="AG301" t="s">
        <v>76</v>
      </c>
      <c r="AH301">
        <v>12</v>
      </c>
      <c r="AI301" s="35">
        <v>7.1999999999999998E-3</v>
      </c>
      <c r="AK301">
        <v>341</v>
      </c>
      <c r="AL301" t="s">
        <v>1244</v>
      </c>
      <c r="AM301">
        <v>1</v>
      </c>
    </row>
    <row r="302" spans="1:40" x14ac:dyDescent="0.25">
      <c r="A302">
        <v>195</v>
      </c>
      <c r="B302">
        <v>157</v>
      </c>
      <c r="C302" s="10" t="s">
        <v>38</v>
      </c>
      <c r="D302" s="1">
        <f t="shared" si="16"/>
        <v>500</v>
      </c>
      <c r="E302" s="2">
        <v>65</v>
      </c>
      <c r="F302" s="3">
        <v>70</v>
      </c>
      <c r="G302" s="4">
        <v>120</v>
      </c>
      <c r="H302" s="5">
        <v>60</v>
      </c>
      <c r="I302" s="4">
        <v>120</v>
      </c>
      <c r="J302" s="6">
        <v>65</v>
      </c>
      <c r="K302">
        <v>500</v>
      </c>
      <c r="L302" s="9" t="s">
        <v>660</v>
      </c>
      <c r="M302" t="s">
        <v>607</v>
      </c>
      <c r="N302" s="19" t="s">
        <v>661</v>
      </c>
      <c r="P302">
        <v>157</v>
      </c>
      <c r="Q302" t="str">
        <f t="shared" si="17"/>
        <v>Hast</v>
      </c>
      <c r="T302">
        <v>228</v>
      </c>
      <c r="U302" s="16" t="s">
        <v>935</v>
      </c>
      <c r="W302" s="25" t="s">
        <v>1026</v>
      </c>
      <c r="X302" t="s">
        <v>998</v>
      </c>
      <c r="Z302">
        <v>100</v>
      </c>
      <c r="AA302" t="s">
        <v>76</v>
      </c>
      <c r="AB302">
        <v>6</v>
      </c>
      <c r="AC302" s="35">
        <v>0.2117</v>
      </c>
      <c r="AD302" s="36">
        <f t="shared" si="18"/>
        <v>1.2702</v>
      </c>
      <c r="AF302">
        <v>105</v>
      </c>
      <c r="AG302" t="s">
        <v>479</v>
      </c>
      <c r="AH302">
        <v>12</v>
      </c>
      <c r="AI302" s="35">
        <v>7.1999999999999998E-3</v>
      </c>
      <c r="AK302">
        <v>342</v>
      </c>
      <c r="AL302" t="s">
        <v>1233</v>
      </c>
      <c r="AM302">
        <v>1</v>
      </c>
    </row>
    <row r="303" spans="1:40" x14ac:dyDescent="0.25">
      <c r="A303">
        <v>196</v>
      </c>
      <c r="B303">
        <v>158</v>
      </c>
      <c r="C303" t="s">
        <v>39</v>
      </c>
      <c r="D303" s="1">
        <f t="shared" si="16"/>
        <v>399</v>
      </c>
      <c r="E303" s="2">
        <v>75</v>
      </c>
      <c r="F303" s="3">
        <v>85</v>
      </c>
      <c r="G303" s="4">
        <v>45</v>
      </c>
      <c r="H303" s="5">
        <v>60</v>
      </c>
      <c r="I303" s="4">
        <v>55</v>
      </c>
      <c r="J303" s="6">
        <v>79</v>
      </c>
      <c r="K303">
        <v>399</v>
      </c>
      <c r="L303" s="9" t="s">
        <v>599</v>
      </c>
      <c r="M303" t="s">
        <v>601</v>
      </c>
      <c r="N303" s="19" t="s">
        <v>1097</v>
      </c>
      <c r="P303">
        <v>158</v>
      </c>
      <c r="Q303" t="str">
        <f t="shared" si="17"/>
        <v>Poov</v>
      </c>
      <c r="R303">
        <v>23</v>
      </c>
      <c r="T303">
        <v>229</v>
      </c>
      <c r="U303" s="16" t="s">
        <v>933</v>
      </c>
      <c r="W303" s="27" t="s">
        <v>1056</v>
      </c>
      <c r="X303" s="23" t="s">
        <v>999</v>
      </c>
      <c r="Z303">
        <v>78</v>
      </c>
      <c r="AA303" t="s">
        <v>1613</v>
      </c>
      <c r="AB303">
        <v>7</v>
      </c>
      <c r="AC303" s="35">
        <v>0.18290000000000001</v>
      </c>
      <c r="AD303" s="36">
        <f t="shared" si="18"/>
        <v>1.2803</v>
      </c>
      <c r="AF303">
        <v>107</v>
      </c>
      <c r="AG303" t="s">
        <v>100</v>
      </c>
      <c r="AH303">
        <v>12</v>
      </c>
      <c r="AI303" s="35">
        <v>7.1999999999999998E-3</v>
      </c>
      <c r="AK303">
        <v>343</v>
      </c>
      <c r="AL303" t="s">
        <v>1417</v>
      </c>
      <c r="AM303">
        <v>1</v>
      </c>
      <c r="AN303" t="s">
        <v>1554</v>
      </c>
    </row>
    <row r="304" spans="1:40" x14ac:dyDescent="0.25">
      <c r="A304">
        <v>197</v>
      </c>
      <c r="B304">
        <v>159</v>
      </c>
      <c r="C304" t="s">
        <v>40</v>
      </c>
      <c r="D304" s="1">
        <f t="shared" si="16"/>
        <v>499</v>
      </c>
      <c r="E304" s="2">
        <v>115</v>
      </c>
      <c r="F304" s="3">
        <v>105</v>
      </c>
      <c r="G304" s="4">
        <v>55</v>
      </c>
      <c r="H304" s="5">
        <v>105</v>
      </c>
      <c r="I304" s="4">
        <v>60</v>
      </c>
      <c r="J304" s="6">
        <v>59</v>
      </c>
      <c r="K304">
        <v>499</v>
      </c>
      <c r="L304" s="9" t="s">
        <v>599</v>
      </c>
      <c r="M304" t="s">
        <v>601</v>
      </c>
      <c r="N304" s="19" t="s">
        <v>1097</v>
      </c>
      <c r="P304">
        <v>159</v>
      </c>
      <c r="Q304" t="str">
        <f t="shared" si="17"/>
        <v>Grust</v>
      </c>
      <c r="T304">
        <v>230</v>
      </c>
      <c r="U304" s="16" t="s">
        <v>934</v>
      </c>
      <c r="W304" s="25" t="s">
        <v>1025</v>
      </c>
      <c r="X304" s="23" t="s">
        <v>1000</v>
      </c>
      <c r="Z304">
        <v>61</v>
      </c>
      <c r="AA304" t="s">
        <v>1606</v>
      </c>
      <c r="AB304">
        <v>22</v>
      </c>
      <c r="AC304" s="35">
        <v>5.91E-2</v>
      </c>
      <c r="AD304" s="36">
        <f t="shared" si="18"/>
        <v>1.3002</v>
      </c>
      <c r="AF304">
        <v>116</v>
      </c>
      <c r="AG304" t="s">
        <v>486</v>
      </c>
      <c r="AH304">
        <v>12</v>
      </c>
      <c r="AI304" s="35">
        <v>7.1999999999999998E-3</v>
      </c>
      <c r="AK304">
        <v>345</v>
      </c>
      <c r="AL304" t="s">
        <v>1209</v>
      </c>
      <c r="AM304">
        <v>1</v>
      </c>
      <c r="AN304" t="s">
        <v>1554</v>
      </c>
    </row>
    <row r="305" spans="1:40" x14ac:dyDescent="0.25">
      <c r="A305">
        <v>169</v>
      </c>
      <c r="B305">
        <v>160</v>
      </c>
      <c r="C305" t="s">
        <v>36</v>
      </c>
      <c r="D305" s="1">
        <f t="shared" si="16"/>
        <v>435</v>
      </c>
      <c r="E305" s="2">
        <v>60</v>
      </c>
      <c r="F305" s="3">
        <v>42</v>
      </c>
      <c r="G305" s="4">
        <v>58</v>
      </c>
      <c r="H305" s="5">
        <v>105</v>
      </c>
      <c r="I305" s="4">
        <v>97</v>
      </c>
      <c r="J305" s="6">
        <v>73</v>
      </c>
      <c r="K305">
        <v>435</v>
      </c>
      <c r="L305" s="9" t="s">
        <v>607</v>
      </c>
      <c r="N305" s="19"/>
      <c r="P305">
        <v>160</v>
      </c>
      <c r="Q305" t="str">
        <f t="shared" si="17"/>
        <v>Cluuz</v>
      </c>
      <c r="R305" t="s">
        <v>791</v>
      </c>
      <c r="T305">
        <v>231</v>
      </c>
      <c r="U305" s="16" t="s">
        <v>937</v>
      </c>
      <c r="W305" s="29" t="s">
        <v>849</v>
      </c>
      <c r="X305" s="24" t="s">
        <v>1001</v>
      </c>
      <c r="Z305">
        <v>150</v>
      </c>
      <c r="AA305" t="s">
        <v>508</v>
      </c>
      <c r="AB305">
        <v>5</v>
      </c>
      <c r="AC305" s="35">
        <v>0.26200000000000001</v>
      </c>
      <c r="AD305" s="36">
        <f t="shared" si="18"/>
        <v>1.31</v>
      </c>
      <c r="AF305">
        <v>149</v>
      </c>
      <c r="AG305" t="s">
        <v>507</v>
      </c>
      <c r="AH305">
        <v>12</v>
      </c>
      <c r="AI305" s="35">
        <v>7.1999999999999998E-3</v>
      </c>
      <c r="AK305">
        <v>346</v>
      </c>
      <c r="AL305" t="s">
        <v>1270</v>
      </c>
      <c r="AM305">
        <v>1</v>
      </c>
      <c r="AN305" t="s">
        <v>1560</v>
      </c>
    </row>
    <row r="306" spans="1:40" x14ac:dyDescent="0.25">
      <c r="A306">
        <v>170</v>
      </c>
      <c r="B306">
        <v>161</v>
      </c>
      <c r="C306" t="s">
        <v>514</v>
      </c>
      <c r="D306" s="1">
        <f t="shared" si="16"/>
        <v>480</v>
      </c>
      <c r="E306" s="2">
        <v>80</v>
      </c>
      <c r="F306" s="3">
        <v>90</v>
      </c>
      <c r="G306" s="4">
        <v>96</v>
      </c>
      <c r="H306" s="5">
        <v>71</v>
      </c>
      <c r="I306" s="4">
        <v>85</v>
      </c>
      <c r="J306" s="6">
        <v>58</v>
      </c>
      <c r="K306">
        <v>480</v>
      </c>
      <c r="L306" s="9" t="s">
        <v>607</v>
      </c>
      <c r="N306" s="19"/>
      <c r="P306">
        <v>161</v>
      </c>
      <c r="Q306" t="str">
        <f t="shared" si="17"/>
        <v>Zurrclu</v>
      </c>
      <c r="R306" t="s">
        <v>785</v>
      </c>
      <c r="T306">
        <v>232</v>
      </c>
      <c r="U306" s="16" t="s">
        <v>938</v>
      </c>
      <c r="W306" s="27" t="s">
        <v>1021</v>
      </c>
      <c r="X306" s="23" t="s">
        <v>1001</v>
      </c>
      <c r="Z306">
        <v>71</v>
      </c>
      <c r="AA306" t="s">
        <v>447</v>
      </c>
      <c r="AB306">
        <v>9</v>
      </c>
      <c r="AC306" s="35">
        <v>0.14779999999999999</v>
      </c>
      <c r="AD306" s="36">
        <f t="shared" si="18"/>
        <v>1.3301999999999998</v>
      </c>
      <c r="AF306">
        <v>219</v>
      </c>
      <c r="AG306" t="s">
        <v>555</v>
      </c>
      <c r="AH306">
        <v>12</v>
      </c>
      <c r="AI306" s="35">
        <v>7.1999999999999998E-3</v>
      </c>
      <c r="AK306">
        <v>347</v>
      </c>
      <c r="AL306" t="s">
        <v>1250</v>
      </c>
      <c r="AM306">
        <v>1</v>
      </c>
      <c r="AN306" t="s">
        <v>1554</v>
      </c>
    </row>
    <row r="307" spans="1:40" x14ac:dyDescent="0.25">
      <c r="A307">
        <v>171</v>
      </c>
      <c r="B307">
        <v>162</v>
      </c>
      <c r="C307" s="10" t="s">
        <v>800</v>
      </c>
      <c r="D307" s="1">
        <f t="shared" si="16"/>
        <v>540</v>
      </c>
      <c r="E307" s="2">
        <v>100</v>
      </c>
      <c r="F307" s="3">
        <v>109</v>
      </c>
      <c r="G307" s="4">
        <v>110</v>
      </c>
      <c r="H307" s="5">
        <v>67</v>
      </c>
      <c r="I307" s="4">
        <v>99</v>
      </c>
      <c r="J307" s="6">
        <v>55</v>
      </c>
      <c r="K307">
        <v>540</v>
      </c>
      <c r="L307" s="9" t="s">
        <v>607</v>
      </c>
      <c r="N307" s="19"/>
      <c r="P307">
        <v>162</v>
      </c>
      <c r="Q307" t="str">
        <f t="shared" si="17"/>
        <v>Zurroaratr</v>
      </c>
      <c r="T307">
        <v>233</v>
      </c>
      <c r="U307" t="s">
        <v>939</v>
      </c>
      <c r="W307" s="16" t="s">
        <v>1033</v>
      </c>
      <c r="X307" s="23" t="s">
        <v>1018</v>
      </c>
      <c r="Y307" t="s">
        <v>1017</v>
      </c>
      <c r="Z307">
        <v>263</v>
      </c>
      <c r="AA307" t="s">
        <v>1141</v>
      </c>
      <c r="AB307">
        <v>15</v>
      </c>
      <c r="AC307" s="35">
        <v>8.9300000000000004E-2</v>
      </c>
      <c r="AD307" s="36">
        <f t="shared" si="18"/>
        <v>1.3395000000000001</v>
      </c>
      <c r="AF307">
        <v>21</v>
      </c>
      <c r="AG307" t="s">
        <v>1582</v>
      </c>
      <c r="AH307">
        <v>13</v>
      </c>
      <c r="AI307" s="35">
        <v>7.7999999999999996E-3</v>
      </c>
      <c r="AK307">
        <v>348</v>
      </c>
      <c r="AL307" t="s">
        <v>1548</v>
      </c>
      <c r="AM307">
        <v>1</v>
      </c>
      <c r="AN307" t="s">
        <v>1554</v>
      </c>
    </row>
    <row r="308" spans="1:40" x14ac:dyDescent="0.25">
      <c r="A308">
        <v>72</v>
      </c>
      <c r="B308">
        <v>163</v>
      </c>
      <c r="C308" t="s">
        <v>515</v>
      </c>
      <c r="D308" s="1">
        <f t="shared" si="16"/>
        <v>305</v>
      </c>
      <c r="E308" s="2">
        <v>75</v>
      </c>
      <c r="F308" s="3">
        <v>80</v>
      </c>
      <c r="G308" s="4">
        <v>55</v>
      </c>
      <c r="H308" s="5">
        <v>25</v>
      </c>
      <c r="I308" s="4">
        <v>35</v>
      </c>
      <c r="J308" s="6">
        <v>35</v>
      </c>
      <c r="K308">
        <v>305</v>
      </c>
      <c r="L308" s="9" t="s">
        <v>622</v>
      </c>
      <c r="M308" t="s">
        <v>667</v>
      </c>
      <c r="N308" s="19"/>
      <c r="P308">
        <v>163</v>
      </c>
      <c r="Q308" t="str">
        <f t="shared" si="17"/>
        <v>Timburr</v>
      </c>
      <c r="R308">
        <v>25</v>
      </c>
      <c r="T308">
        <v>234</v>
      </c>
      <c r="U308" t="s">
        <v>940</v>
      </c>
      <c r="W308" s="16" t="s">
        <v>812</v>
      </c>
      <c r="Z308">
        <v>224</v>
      </c>
      <c r="AA308" t="s">
        <v>1626</v>
      </c>
      <c r="AB308">
        <v>5</v>
      </c>
      <c r="AC308" s="35">
        <v>0.27</v>
      </c>
      <c r="AD308" s="36">
        <f t="shared" si="18"/>
        <v>1.35</v>
      </c>
      <c r="AF308">
        <v>60</v>
      </c>
      <c r="AG308" t="s">
        <v>1605</v>
      </c>
      <c r="AH308">
        <v>13</v>
      </c>
      <c r="AI308" s="35">
        <v>7.7999999999999996E-3</v>
      </c>
      <c r="AK308">
        <v>349</v>
      </c>
      <c r="AL308" t="s">
        <v>1370</v>
      </c>
      <c r="AM308">
        <v>1</v>
      </c>
      <c r="AN308" t="s">
        <v>1554</v>
      </c>
    </row>
    <row r="309" spans="1:40" x14ac:dyDescent="0.25">
      <c r="A309">
        <v>73</v>
      </c>
      <c r="B309">
        <v>164</v>
      </c>
      <c r="C309" t="s">
        <v>516</v>
      </c>
      <c r="D309" s="1">
        <f t="shared" si="16"/>
        <v>405</v>
      </c>
      <c r="E309" s="2">
        <v>85</v>
      </c>
      <c r="F309" s="3">
        <v>105</v>
      </c>
      <c r="G309" s="4">
        <v>85</v>
      </c>
      <c r="H309" s="5">
        <v>40</v>
      </c>
      <c r="I309" s="4">
        <v>50</v>
      </c>
      <c r="J309" s="6">
        <v>40</v>
      </c>
      <c r="K309">
        <v>405</v>
      </c>
      <c r="L309" s="9" t="s">
        <v>622</v>
      </c>
      <c r="M309" t="s">
        <v>667</v>
      </c>
      <c r="N309" s="19"/>
      <c r="P309">
        <v>164</v>
      </c>
      <c r="Q309" t="str">
        <f t="shared" si="17"/>
        <v>Gurdurr</v>
      </c>
      <c r="R309" t="s">
        <v>786</v>
      </c>
      <c r="T309">
        <v>235</v>
      </c>
      <c r="U309" t="s">
        <v>941</v>
      </c>
      <c r="W309" s="16" t="s">
        <v>812</v>
      </c>
      <c r="Z309">
        <v>143</v>
      </c>
      <c r="AA309" t="s">
        <v>502</v>
      </c>
      <c r="AB309">
        <v>8</v>
      </c>
      <c r="AC309" s="35">
        <v>0.19</v>
      </c>
      <c r="AD309" s="36">
        <f t="shared" si="18"/>
        <v>1.52</v>
      </c>
      <c r="AF309">
        <v>194</v>
      </c>
      <c r="AG309" t="s">
        <v>530</v>
      </c>
      <c r="AH309">
        <v>13</v>
      </c>
      <c r="AI309" s="35">
        <v>7.7999999999999996E-3</v>
      </c>
      <c r="AK309">
        <v>350</v>
      </c>
      <c r="AL309" t="s">
        <v>1549</v>
      </c>
      <c r="AM309">
        <v>1</v>
      </c>
      <c r="AN309" t="s">
        <v>1554</v>
      </c>
    </row>
    <row r="310" spans="1:40" x14ac:dyDescent="0.25">
      <c r="A310">
        <v>74</v>
      </c>
      <c r="B310">
        <v>165</v>
      </c>
      <c r="C310" s="10" t="s">
        <v>517</v>
      </c>
      <c r="D310" s="1">
        <f t="shared" si="16"/>
        <v>505</v>
      </c>
      <c r="E310" s="2">
        <v>105</v>
      </c>
      <c r="F310" s="3">
        <v>140</v>
      </c>
      <c r="G310" s="4">
        <v>95</v>
      </c>
      <c r="H310" s="5">
        <v>55</v>
      </c>
      <c r="I310" s="4">
        <v>65</v>
      </c>
      <c r="J310" s="6">
        <v>45</v>
      </c>
      <c r="K310">
        <v>505</v>
      </c>
      <c r="L310" s="9" t="s">
        <v>622</v>
      </c>
      <c r="M310" t="s">
        <v>667</v>
      </c>
      <c r="N310" s="19"/>
      <c r="P310">
        <v>165</v>
      </c>
      <c r="Q310" t="str">
        <f t="shared" si="17"/>
        <v>Conkeldurr</v>
      </c>
      <c r="T310">
        <v>236</v>
      </c>
      <c r="U310" t="s">
        <v>942</v>
      </c>
      <c r="W310" s="16" t="s">
        <v>813</v>
      </c>
      <c r="Z310">
        <v>225</v>
      </c>
      <c r="AA310" t="s">
        <v>1627</v>
      </c>
      <c r="AB310">
        <v>6</v>
      </c>
      <c r="AC310" s="35">
        <v>0.25829999999999997</v>
      </c>
      <c r="AD310" s="36">
        <f t="shared" si="18"/>
        <v>1.5497999999999998</v>
      </c>
      <c r="AF310">
        <v>250</v>
      </c>
      <c r="AG310" t="s">
        <v>1126</v>
      </c>
      <c r="AH310">
        <v>13</v>
      </c>
      <c r="AI310" s="35">
        <v>7.7999999999999996E-3</v>
      </c>
      <c r="AK310">
        <v>351</v>
      </c>
      <c r="AL310" t="s">
        <v>1550</v>
      </c>
      <c r="AM310">
        <v>1</v>
      </c>
      <c r="AN310" t="s">
        <v>1554</v>
      </c>
    </row>
    <row r="311" spans="1:40" x14ac:dyDescent="0.25">
      <c r="A311">
        <v>75</v>
      </c>
      <c r="B311">
        <v>166</v>
      </c>
      <c r="C311" t="s">
        <v>68</v>
      </c>
      <c r="D311" s="1">
        <f t="shared" si="16"/>
        <v>316</v>
      </c>
      <c r="E311" s="2">
        <v>51</v>
      </c>
      <c r="F311" s="3">
        <v>65</v>
      </c>
      <c r="G311" s="4">
        <v>89</v>
      </c>
      <c r="H311" s="5">
        <v>30</v>
      </c>
      <c r="I311" s="4">
        <v>66</v>
      </c>
      <c r="J311" s="6">
        <v>15</v>
      </c>
      <c r="K311">
        <v>316</v>
      </c>
      <c r="L311" s="9" t="s">
        <v>645</v>
      </c>
      <c r="M311" t="s">
        <v>628</v>
      </c>
      <c r="N311" s="19" t="s">
        <v>598</v>
      </c>
      <c r="P311">
        <v>166</v>
      </c>
      <c r="Q311" t="str">
        <f t="shared" si="17"/>
        <v>Rhypo</v>
      </c>
      <c r="R311">
        <v>30</v>
      </c>
      <c r="T311">
        <v>237</v>
      </c>
      <c r="U311" t="s">
        <v>943</v>
      </c>
      <c r="W311" s="16" t="s">
        <v>817</v>
      </c>
      <c r="Z311">
        <v>90</v>
      </c>
      <c r="AA311" t="s">
        <v>466</v>
      </c>
      <c r="AB311">
        <v>12</v>
      </c>
      <c r="AC311" s="35">
        <v>0.13500000000000001</v>
      </c>
      <c r="AD311" s="36">
        <f t="shared" si="18"/>
        <v>1.62</v>
      </c>
      <c r="AF311">
        <v>74</v>
      </c>
      <c r="AG311" t="s">
        <v>1612</v>
      </c>
      <c r="AH311">
        <v>14</v>
      </c>
      <c r="AI311" s="35">
        <v>8.3999999999999995E-3</v>
      </c>
      <c r="AK311">
        <v>352</v>
      </c>
      <c r="AL311" t="s">
        <v>1551</v>
      </c>
      <c r="AM311">
        <v>1</v>
      </c>
      <c r="AN311" t="s">
        <v>1554</v>
      </c>
    </row>
    <row r="312" spans="1:40" x14ac:dyDescent="0.25">
      <c r="A312">
        <v>76</v>
      </c>
      <c r="B312">
        <v>167</v>
      </c>
      <c r="C312" t="s">
        <v>69</v>
      </c>
      <c r="D312" s="1">
        <f t="shared" si="16"/>
        <v>412</v>
      </c>
      <c r="E312" s="2">
        <v>57</v>
      </c>
      <c r="F312" s="3">
        <v>73</v>
      </c>
      <c r="G312" s="4">
        <v>112</v>
      </c>
      <c r="H312" s="5">
        <v>55</v>
      </c>
      <c r="I312" s="4">
        <v>95</v>
      </c>
      <c r="J312" s="6">
        <v>20</v>
      </c>
      <c r="K312">
        <v>412</v>
      </c>
      <c r="L312" s="15" t="s">
        <v>662</v>
      </c>
      <c r="M312" t="s">
        <v>628</v>
      </c>
      <c r="N312" s="19" t="s">
        <v>598</v>
      </c>
      <c r="P312">
        <v>167</v>
      </c>
      <c r="Q312" t="str">
        <f t="shared" si="17"/>
        <v>Rhynee</v>
      </c>
      <c r="R312">
        <v>50</v>
      </c>
      <c r="T312">
        <v>238</v>
      </c>
      <c r="U312" t="s">
        <v>944</v>
      </c>
      <c r="W312" s="16" t="s">
        <v>1046</v>
      </c>
      <c r="Z312">
        <v>44</v>
      </c>
      <c r="AA312" t="s">
        <v>574</v>
      </c>
      <c r="AB312">
        <v>5</v>
      </c>
      <c r="AC312" s="35">
        <v>0.34399999999999997</v>
      </c>
      <c r="AD312" s="36">
        <f t="shared" si="18"/>
        <v>1.7199999999999998</v>
      </c>
      <c r="AF312">
        <v>170</v>
      </c>
      <c r="AG312" t="s">
        <v>519</v>
      </c>
      <c r="AH312">
        <v>14</v>
      </c>
      <c r="AI312" s="35">
        <v>8.3999999999999995E-3</v>
      </c>
      <c r="AK312">
        <v>353</v>
      </c>
      <c r="AL312" t="s">
        <v>1552</v>
      </c>
      <c r="AM312">
        <v>1</v>
      </c>
      <c r="AN312" t="s">
        <v>1554</v>
      </c>
    </row>
    <row r="313" spans="1:40" x14ac:dyDescent="0.25">
      <c r="A313">
        <v>77</v>
      </c>
      <c r="B313">
        <v>168</v>
      </c>
      <c r="C313" t="s">
        <v>70</v>
      </c>
      <c r="D313" s="1">
        <f t="shared" si="16"/>
        <v>510</v>
      </c>
      <c r="E313" s="2">
        <v>75</v>
      </c>
      <c r="F313" s="3">
        <v>100</v>
      </c>
      <c r="G313" s="4">
        <v>145</v>
      </c>
      <c r="H313" s="5">
        <v>70</v>
      </c>
      <c r="I313" s="4">
        <v>95</v>
      </c>
      <c r="J313" s="6">
        <v>25</v>
      </c>
      <c r="K313">
        <v>510</v>
      </c>
      <c r="L313" s="15" t="s">
        <v>662</v>
      </c>
      <c r="M313" t="s">
        <v>628</v>
      </c>
      <c r="N313" s="19" t="s">
        <v>598</v>
      </c>
      <c r="P313">
        <v>168</v>
      </c>
      <c r="Q313" t="str">
        <f t="shared" si="17"/>
        <v>Rhypolar</v>
      </c>
      <c r="T313">
        <v>239</v>
      </c>
      <c r="U313" t="s">
        <v>945</v>
      </c>
      <c r="W313" s="16" t="s">
        <v>820</v>
      </c>
      <c r="Z313">
        <v>148</v>
      </c>
      <c r="AA313" t="s">
        <v>506</v>
      </c>
      <c r="AB313">
        <v>9</v>
      </c>
      <c r="AC313" s="35">
        <v>0.19670000000000001</v>
      </c>
      <c r="AD313" s="36">
        <f t="shared" si="18"/>
        <v>1.7703000000000002</v>
      </c>
      <c r="AF313">
        <v>186</v>
      </c>
      <c r="AG313" t="s">
        <v>103</v>
      </c>
      <c r="AH313">
        <v>14</v>
      </c>
      <c r="AI313" s="35">
        <v>8.3999999999999995E-3</v>
      </c>
      <c r="AK313">
        <v>354</v>
      </c>
      <c r="AL313" t="s">
        <v>1553</v>
      </c>
      <c r="AM313">
        <v>1</v>
      </c>
    </row>
    <row r="314" spans="1:40" x14ac:dyDescent="0.25">
      <c r="A314">
        <v>115</v>
      </c>
      <c r="B314">
        <v>169</v>
      </c>
      <c r="C314" t="s">
        <v>518</v>
      </c>
      <c r="D314" s="1">
        <f t="shared" si="16"/>
        <v>333</v>
      </c>
      <c r="E314" s="2">
        <v>37</v>
      </c>
      <c r="F314" s="3">
        <v>85</v>
      </c>
      <c r="G314" s="4">
        <v>47</v>
      </c>
      <c r="H314" s="5">
        <v>23</v>
      </c>
      <c r="I314" s="4">
        <v>63</v>
      </c>
      <c r="J314" s="6">
        <v>78</v>
      </c>
      <c r="K314">
        <v>333</v>
      </c>
      <c r="L314" s="9" t="s">
        <v>162</v>
      </c>
      <c r="M314" t="s">
        <v>650</v>
      </c>
      <c r="N314" s="19" t="s">
        <v>1115</v>
      </c>
      <c r="P314">
        <v>169</v>
      </c>
      <c r="Q314" t="str">
        <f t="shared" si="17"/>
        <v>Diggie</v>
      </c>
      <c r="R314">
        <v>33</v>
      </c>
      <c r="T314">
        <v>240</v>
      </c>
      <c r="U314" t="s">
        <v>946</v>
      </c>
      <c r="W314" s="16" t="s">
        <v>820</v>
      </c>
      <c r="Z314">
        <v>98</v>
      </c>
      <c r="AA314" t="s">
        <v>474</v>
      </c>
      <c r="AB314">
        <v>5</v>
      </c>
      <c r="AC314" s="35">
        <v>0.38600000000000001</v>
      </c>
      <c r="AD314" s="36">
        <f t="shared" si="18"/>
        <v>1.9300000000000002</v>
      </c>
      <c r="AF314">
        <v>210</v>
      </c>
      <c r="AG314" t="s">
        <v>546</v>
      </c>
      <c r="AH314">
        <v>14</v>
      </c>
      <c r="AI314" s="35">
        <v>8.3999999999999995E-3</v>
      </c>
      <c r="AK314">
        <v>365</v>
      </c>
      <c r="AL314" t="s">
        <v>1418</v>
      </c>
      <c r="AM314">
        <v>1</v>
      </c>
    </row>
    <row r="315" spans="1:40" x14ac:dyDescent="0.25">
      <c r="A315">
        <v>116</v>
      </c>
      <c r="B315">
        <v>170</v>
      </c>
      <c r="C315" t="s">
        <v>519</v>
      </c>
      <c r="D315" s="1">
        <f t="shared" si="16"/>
        <v>503</v>
      </c>
      <c r="E315" s="2">
        <v>65</v>
      </c>
      <c r="F315" s="3">
        <v>128</v>
      </c>
      <c r="G315" s="4">
        <v>55</v>
      </c>
      <c r="H315" s="5">
        <v>80</v>
      </c>
      <c r="I315" s="4">
        <v>55</v>
      </c>
      <c r="J315" s="6">
        <v>120</v>
      </c>
      <c r="K315">
        <v>503</v>
      </c>
      <c r="L315" s="9" t="s">
        <v>628</v>
      </c>
      <c r="M315" t="s">
        <v>650</v>
      </c>
      <c r="N315" s="19" t="s">
        <v>1115</v>
      </c>
      <c r="P315">
        <v>170</v>
      </c>
      <c r="Q315" t="str">
        <f t="shared" si="17"/>
        <v>Drillatron</v>
      </c>
      <c r="T315">
        <v>241</v>
      </c>
      <c r="U315" t="s">
        <v>947</v>
      </c>
      <c r="W315" s="16" t="s">
        <v>824</v>
      </c>
      <c r="Z315">
        <v>146</v>
      </c>
      <c r="AA315" t="s">
        <v>504</v>
      </c>
      <c r="AB315">
        <v>11</v>
      </c>
      <c r="AC315" s="35">
        <v>0.17910000000000001</v>
      </c>
      <c r="AD315" s="36">
        <f t="shared" si="18"/>
        <v>1.9701000000000002</v>
      </c>
      <c r="AF315">
        <v>266</v>
      </c>
      <c r="AG315" t="s">
        <v>1149</v>
      </c>
      <c r="AH315">
        <v>14</v>
      </c>
      <c r="AI315" s="35">
        <v>8.3999999999999995E-3</v>
      </c>
      <c r="AK315">
        <v>366</v>
      </c>
      <c r="AL315" t="s">
        <v>1395</v>
      </c>
      <c r="AM315">
        <v>1</v>
      </c>
    </row>
    <row r="316" spans="1:40" x14ac:dyDescent="0.25">
      <c r="A316">
        <v>69</v>
      </c>
      <c r="B316">
        <v>171</v>
      </c>
      <c r="C316" t="s">
        <v>520</v>
      </c>
      <c r="D316" s="1">
        <f t="shared" si="16"/>
        <v>275</v>
      </c>
      <c r="E316" s="2">
        <v>45</v>
      </c>
      <c r="F316" s="3">
        <v>60</v>
      </c>
      <c r="G316" s="4">
        <v>55</v>
      </c>
      <c r="H316" s="5">
        <v>35</v>
      </c>
      <c r="I316" s="4">
        <v>25</v>
      </c>
      <c r="J316" s="6">
        <v>55</v>
      </c>
      <c r="K316">
        <v>275</v>
      </c>
      <c r="L316" s="9" t="s">
        <v>663</v>
      </c>
      <c r="M316" t="s">
        <v>645</v>
      </c>
      <c r="N316" s="19" t="s">
        <v>1091</v>
      </c>
      <c r="P316">
        <v>171</v>
      </c>
      <c r="Q316" t="str">
        <f t="shared" si="17"/>
        <v>Wormite</v>
      </c>
      <c r="R316">
        <v>20</v>
      </c>
      <c r="T316">
        <v>242</v>
      </c>
      <c r="U316" t="s">
        <v>948</v>
      </c>
      <c r="W316" s="16" t="s">
        <v>1058</v>
      </c>
      <c r="Z316">
        <v>107</v>
      </c>
      <c r="AA316" t="s">
        <v>100</v>
      </c>
      <c r="AB316">
        <v>18</v>
      </c>
      <c r="AC316" s="35">
        <v>0.1106</v>
      </c>
      <c r="AD316" s="36">
        <f t="shared" si="18"/>
        <v>1.9908000000000001</v>
      </c>
      <c r="AF316">
        <v>268</v>
      </c>
      <c r="AG316" t="s">
        <v>1152</v>
      </c>
      <c r="AH316">
        <v>14</v>
      </c>
      <c r="AI316" s="35">
        <v>8.3999999999999995E-3</v>
      </c>
      <c r="AK316">
        <v>368</v>
      </c>
      <c r="AL316" t="s">
        <v>1416</v>
      </c>
      <c r="AM316">
        <v>1</v>
      </c>
    </row>
    <row r="317" spans="1:40" x14ac:dyDescent="0.25">
      <c r="A317">
        <v>70</v>
      </c>
      <c r="B317">
        <v>172</v>
      </c>
      <c r="C317" t="s">
        <v>521</v>
      </c>
      <c r="D317" s="1">
        <f t="shared" si="16"/>
        <v>385</v>
      </c>
      <c r="E317" s="2">
        <v>50</v>
      </c>
      <c r="F317" s="3">
        <v>80</v>
      </c>
      <c r="G317" s="4">
        <v>100</v>
      </c>
      <c r="H317" s="5">
        <v>60</v>
      </c>
      <c r="I317" s="4">
        <v>35</v>
      </c>
      <c r="J317" s="6">
        <v>60</v>
      </c>
      <c r="K317">
        <v>385</v>
      </c>
      <c r="L317" s="9" t="s">
        <v>663</v>
      </c>
      <c r="M317" t="s">
        <v>645</v>
      </c>
      <c r="N317" s="19" t="s">
        <v>1091</v>
      </c>
      <c r="P317">
        <v>172</v>
      </c>
      <c r="Q317" t="str">
        <f t="shared" si="17"/>
        <v>Wormbot</v>
      </c>
      <c r="R317">
        <v>48</v>
      </c>
      <c r="T317">
        <v>243</v>
      </c>
      <c r="U317" t="s">
        <v>949</v>
      </c>
      <c r="W317" s="16" t="s">
        <v>849</v>
      </c>
      <c r="Z317">
        <v>134</v>
      </c>
      <c r="AA317" t="s">
        <v>496</v>
      </c>
      <c r="AB317">
        <v>11</v>
      </c>
      <c r="AC317" s="35">
        <v>0.2036</v>
      </c>
      <c r="AD317" s="36">
        <f t="shared" si="18"/>
        <v>2.2396000000000003</v>
      </c>
      <c r="AF317">
        <v>273</v>
      </c>
      <c r="AG317" t="s">
        <v>1158</v>
      </c>
      <c r="AH317">
        <v>14</v>
      </c>
      <c r="AI317" s="35">
        <v>8.3999999999999995E-3</v>
      </c>
      <c r="AK317">
        <v>370</v>
      </c>
      <c r="AL317" t="s">
        <v>1464</v>
      </c>
      <c r="AM317">
        <v>1</v>
      </c>
    </row>
    <row r="318" spans="1:40" x14ac:dyDescent="0.25">
      <c r="A318">
        <v>71</v>
      </c>
      <c r="B318">
        <v>173</v>
      </c>
      <c r="C318" t="s">
        <v>522</v>
      </c>
      <c r="D318" s="1">
        <f t="shared" si="16"/>
        <v>520</v>
      </c>
      <c r="E318" s="2">
        <v>60</v>
      </c>
      <c r="F318" s="3">
        <v>100</v>
      </c>
      <c r="G318" s="4">
        <v>120</v>
      </c>
      <c r="H318" s="5">
        <v>105</v>
      </c>
      <c r="I318" s="4">
        <v>70</v>
      </c>
      <c r="J318" s="6">
        <v>65</v>
      </c>
      <c r="K318">
        <v>520</v>
      </c>
      <c r="L318" s="9" t="s">
        <v>663</v>
      </c>
      <c r="M318" t="s">
        <v>598</v>
      </c>
      <c r="N318" s="19" t="s">
        <v>1091</v>
      </c>
      <c r="P318">
        <v>173</v>
      </c>
      <c r="Q318" t="str">
        <f t="shared" si="17"/>
        <v>Wormatron</v>
      </c>
      <c r="T318">
        <v>244</v>
      </c>
      <c r="U318" t="s">
        <v>950</v>
      </c>
      <c r="W318" s="16" t="s">
        <v>821</v>
      </c>
      <c r="Z318">
        <v>132</v>
      </c>
      <c r="AA318" t="s">
        <v>494</v>
      </c>
      <c r="AB318">
        <v>16</v>
      </c>
      <c r="AC318" s="35">
        <v>0.14380000000000001</v>
      </c>
      <c r="AD318" s="36">
        <f t="shared" si="18"/>
        <v>2.3008000000000002</v>
      </c>
      <c r="AF318">
        <v>277</v>
      </c>
      <c r="AG318" t="s">
        <v>1162</v>
      </c>
      <c r="AH318">
        <v>14</v>
      </c>
      <c r="AI318" s="35">
        <v>8.3999999999999995E-3</v>
      </c>
      <c r="AK318">
        <v>371</v>
      </c>
      <c r="AL318" t="s">
        <v>1383</v>
      </c>
      <c r="AM318">
        <v>1</v>
      </c>
    </row>
    <row r="319" spans="1:40" x14ac:dyDescent="0.25">
      <c r="A319">
        <v>57</v>
      </c>
      <c r="B319">
        <v>174</v>
      </c>
      <c r="C319" t="s">
        <v>569</v>
      </c>
      <c r="D319" s="1">
        <f t="shared" si="16"/>
        <v>218</v>
      </c>
      <c r="E319" s="2">
        <v>50</v>
      </c>
      <c r="F319" s="3">
        <v>25</v>
      </c>
      <c r="G319" s="4">
        <v>28</v>
      </c>
      <c r="H319" s="5">
        <v>45</v>
      </c>
      <c r="I319" s="4">
        <v>55</v>
      </c>
      <c r="J319" s="6">
        <v>15</v>
      </c>
      <c r="K319">
        <v>218</v>
      </c>
      <c r="L319" s="9" t="s">
        <v>610</v>
      </c>
      <c r="M319" t="s">
        <v>654</v>
      </c>
      <c r="N319" s="19"/>
      <c r="P319">
        <v>174</v>
      </c>
      <c r="Q319" t="str">
        <f t="shared" si="17"/>
        <v>Cleffa</v>
      </c>
      <c r="R319" t="s">
        <v>786</v>
      </c>
      <c r="T319">
        <v>245</v>
      </c>
      <c r="U319" t="s">
        <v>951</v>
      </c>
      <c r="W319" s="16" t="s">
        <v>821</v>
      </c>
      <c r="Z319">
        <v>141</v>
      </c>
      <c r="AA319" t="s">
        <v>66</v>
      </c>
      <c r="AB319">
        <v>24</v>
      </c>
      <c r="AC319" s="35">
        <v>0.1</v>
      </c>
      <c r="AD319" s="36">
        <f t="shared" si="18"/>
        <v>2.4000000000000004</v>
      </c>
      <c r="AF319">
        <v>47</v>
      </c>
      <c r="AG319" t="s">
        <v>1592</v>
      </c>
      <c r="AH319">
        <v>15</v>
      </c>
      <c r="AI319" s="35">
        <v>8.9999999999999993E-3</v>
      </c>
      <c r="AK319">
        <v>372</v>
      </c>
      <c r="AL319" t="s">
        <v>1393</v>
      </c>
      <c r="AM319">
        <v>1</v>
      </c>
    </row>
    <row r="320" spans="1:40" x14ac:dyDescent="0.25">
      <c r="A320">
        <v>58</v>
      </c>
      <c r="B320">
        <v>175</v>
      </c>
      <c r="C320" t="s">
        <v>570</v>
      </c>
      <c r="D320" s="1">
        <f t="shared" si="16"/>
        <v>323</v>
      </c>
      <c r="E320" s="2">
        <v>70</v>
      </c>
      <c r="F320" s="3">
        <v>45</v>
      </c>
      <c r="G320" s="4">
        <v>48</v>
      </c>
      <c r="H320" s="5">
        <v>60</v>
      </c>
      <c r="I320" s="4">
        <v>65</v>
      </c>
      <c r="J320" s="6">
        <v>35</v>
      </c>
      <c r="K320">
        <v>323</v>
      </c>
      <c r="L320" s="9" t="s">
        <v>610</v>
      </c>
      <c r="M320" t="s">
        <v>654</v>
      </c>
      <c r="N320" s="19"/>
      <c r="P320">
        <v>175</v>
      </c>
      <c r="Q320" t="str">
        <f t="shared" si="17"/>
        <v>Clefairy</v>
      </c>
      <c r="R320" t="s">
        <v>786</v>
      </c>
      <c r="T320">
        <v>246</v>
      </c>
      <c r="U320" t="s">
        <v>952</v>
      </c>
      <c r="W320" s="16" t="s">
        <v>828</v>
      </c>
      <c r="Z320">
        <v>103</v>
      </c>
      <c r="AA320" t="s">
        <v>477</v>
      </c>
      <c r="AB320">
        <v>13</v>
      </c>
      <c r="AC320" s="35">
        <v>0.2092</v>
      </c>
      <c r="AD320" s="36">
        <f t="shared" si="18"/>
        <v>2.7195999999999998</v>
      </c>
      <c r="AF320">
        <v>77</v>
      </c>
      <c r="AG320" t="s">
        <v>453</v>
      </c>
      <c r="AH320">
        <v>15</v>
      </c>
      <c r="AI320" s="35">
        <v>8.9999999999999993E-3</v>
      </c>
      <c r="AK320">
        <v>373</v>
      </c>
      <c r="AL320" t="s">
        <v>1375</v>
      </c>
      <c r="AM320">
        <v>1</v>
      </c>
    </row>
    <row r="321" spans="1:39" x14ac:dyDescent="0.25">
      <c r="A321">
        <v>59</v>
      </c>
      <c r="B321">
        <v>176</v>
      </c>
      <c r="C321" t="s">
        <v>571</v>
      </c>
      <c r="D321" s="1">
        <f t="shared" si="16"/>
        <v>483</v>
      </c>
      <c r="E321" s="2">
        <v>95</v>
      </c>
      <c r="F321" s="3">
        <v>70</v>
      </c>
      <c r="G321" s="4">
        <v>73</v>
      </c>
      <c r="H321" s="5">
        <v>95</v>
      </c>
      <c r="I321" s="4">
        <v>90</v>
      </c>
      <c r="J321" s="6">
        <v>60</v>
      </c>
      <c r="K321">
        <v>483</v>
      </c>
      <c r="L321" s="9" t="s">
        <v>610</v>
      </c>
      <c r="M321" t="s">
        <v>654</v>
      </c>
      <c r="N321" s="19"/>
      <c r="P321">
        <v>176</v>
      </c>
      <c r="Q321" t="str">
        <f t="shared" si="17"/>
        <v>Clefable</v>
      </c>
      <c r="T321">
        <v>247</v>
      </c>
      <c r="U321" t="s">
        <v>997</v>
      </c>
      <c r="W321" s="16" t="s">
        <v>829</v>
      </c>
      <c r="Z321">
        <v>215</v>
      </c>
      <c r="AA321" t="s">
        <v>551</v>
      </c>
      <c r="AB321">
        <v>9</v>
      </c>
      <c r="AC321" s="35">
        <v>0.39219999999999999</v>
      </c>
      <c r="AD321" s="36">
        <f t="shared" si="18"/>
        <v>3.5297999999999998</v>
      </c>
      <c r="AF321">
        <v>140</v>
      </c>
      <c r="AG321" t="s">
        <v>500</v>
      </c>
      <c r="AH321">
        <v>15</v>
      </c>
      <c r="AI321" s="35">
        <v>8.9999999999999993E-3</v>
      </c>
      <c r="AK321">
        <v>374</v>
      </c>
      <c r="AL321" t="s">
        <v>1377</v>
      </c>
      <c r="AM321">
        <v>1</v>
      </c>
    </row>
    <row r="322" spans="1:39" x14ac:dyDescent="0.25">
      <c r="A322">
        <v>67</v>
      </c>
      <c r="B322">
        <v>177</v>
      </c>
      <c r="C322" t="s">
        <v>523</v>
      </c>
      <c r="D322" s="1">
        <f t="shared" si="16"/>
        <v>420</v>
      </c>
      <c r="E322" s="2">
        <v>40</v>
      </c>
      <c r="F322" s="3">
        <v>45</v>
      </c>
      <c r="G322" s="4">
        <v>65</v>
      </c>
      <c r="H322" s="5">
        <v>100</v>
      </c>
      <c r="I322" s="4">
        <v>105</v>
      </c>
      <c r="J322" s="6">
        <v>65</v>
      </c>
      <c r="K322">
        <v>420</v>
      </c>
      <c r="L322" s="9" t="s">
        <v>611</v>
      </c>
      <c r="M322" t="s">
        <v>602</v>
      </c>
      <c r="N322" s="19"/>
      <c r="P322">
        <v>177</v>
      </c>
      <c r="Q322" t="str">
        <f t="shared" si="17"/>
        <v>Minishoo</v>
      </c>
      <c r="R322" t="s">
        <v>789</v>
      </c>
      <c r="T322">
        <v>248</v>
      </c>
      <c r="U322" t="s">
        <v>953</v>
      </c>
      <c r="W322" s="16" t="s">
        <v>829</v>
      </c>
      <c r="Z322">
        <v>209</v>
      </c>
      <c r="AA322" t="s">
        <v>545</v>
      </c>
      <c r="AB322">
        <v>6</v>
      </c>
      <c r="AC322" s="35">
        <v>0.61670000000000003</v>
      </c>
      <c r="AD322" s="36">
        <f t="shared" si="18"/>
        <v>3.7002000000000002</v>
      </c>
      <c r="AF322">
        <v>159</v>
      </c>
      <c r="AG322" t="s">
        <v>40</v>
      </c>
      <c r="AH322">
        <v>16</v>
      </c>
      <c r="AI322" s="35">
        <v>9.5999999999999992E-3</v>
      </c>
      <c r="AK322">
        <v>375</v>
      </c>
      <c r="AL322" t="s">
        <v>1411</v>
      </c>
      <c r="AM322">
        <v>1</v>
      </c>
    </row>
    <row r="323" spans="1:39" x14ac:dyDescent="0.25">
      <c r="A323">
        <v>68</v>
      </c>
      <c r="B323">
        <v>178</v>
      </c>
      <c r="C323" t="s">
        <v>524</v>
      </c>
      <c r="D323" s="1">
        <f t="shared" si="16"/>
        <v>520</v>
      </c>
      <c r="E323" s="2">
        <v>70</v>
      </c>
      <c r="F323" s="3">
        <v>45</v>
      </c>
      <c r="G323" s="4">
        <v>75</v>
      </c>
      <c r="H323" s="5">
        <v>135</v>
      </c>
      <c r="I323" s="4">
        <v>115</v>
      </c>
      <c r="J323" s="6">
        <v>80</v>
      </c>
      <c r="K323">
        <v>520</v>
      </c>
      <c r="L323" s="9" t="s">
        <v>611</v>
      </c>
      <c r="M323" t="s">
        <v>602</v>
      </c>
      <c r="N323" s="19"/>
      <c r="P323">
        <v>178</v>
      </c>
      <c r="Q323" t="str">
        <f t="shared" si="17"/>
        <v>Glittleshoo</v>
      </c>
      <c r="T323">
        <v>249</v>
      </c>
      <c r="U323" t="s">
        <v>954</v>
      </c>
      <c r="W323" s="16" t="s">
        <v>833</v>
      </c>
      <c r="Z323">
        <v>137</v>
      </c>
      <c r="AA323" t="s">
        <v>497</v>
      </c>
      <c r="AB323">
        <v>15</v>
      </c>
      <c r="AC323" s="35">
        <v>0.25669999999999998</v>
      </c>
      <c r="AD323" s="36">
        <f t="shared" si="18"/>
        <v>3.8504999999999998</v>
      </c>
      <c r="AF323">
        <v>262</v>
      </c>
      <c r="AG323" t="s">
        <v>1140</v>
      </c>
      <c r="AH323">
        <v>16</v>
      </c>
      <c r="AI323" s="35">
        <v>9.5999999999999992E-3</v>
      </c>
      <c r="AK323">
        <v>376</v>
      </c>
      <c r="AL323" t="s">
        <v>1384</v>
      </c>
      <c r="AM323">
        <v>1</v>
      </c>
    </row>
    <row r="324" spans="1:39" x14ac:dyDescent="0.25">
      <c r="A324">
        <v>117</v>
      </c>
      <c r="B324">
        <v>179</v>
      </c>
      <c r="C324" t="s">
        <v>525</v>
      </c>
      <c r="D324" s="1">
        <f t="shared" si="16"/>
        <v>330</v>
      </c>
      <c r="E324" s="2">
        <v>40</v>
      </c>
      <c r="F324" s="3">
        <v>65</v>
      </c>
      <c r="G324" s="4">
        <v>40</v>
      </c>
      <c r="H324" s="5">
        <v>80</v>
      </c>
      <c r="I324" s="4">
        <v>40</v>
      </c>
      <c r="J324" s="6">
        <v>65</v>
      </c>
      <c r="K324">
        <v>330</v>
      </c>
      <c r="L324" s="9" t="s">
        <v>599</v>
      </c>
      <c r="M324" t="s">
        <v>1096</v>
      </c>
      <c r="N324" s="19"/>
      <c r="P324">
        <v>179</v>
      </c>
      <c r="Q324" t="str">
        <f t="shared" si="17"/>
        <v>Zorua</v>
      </c>
      <c r="R324">
        <v>30</v>
      </c>
      <c r="T324">
        <v>250</v>
      </c>
      <c r="U324" t="s">
        <v>955</v>
      </c>
      <c r="W324" s="16" t="s">
        <v>835</v>
      </c>
      <c r="Z324">
        <v>139</v>
      </c>
      <c r="AA324" t="s">
        <v>499</v>
      </c>
      <c r="AB324">
        <v>17</v>
      </c>
      <c r="AC324" s="35">
        <v>0.27060000000000001</v>
      </c>
      <c r="AD324" s="36">
        <f t="shared" si="18"/>
        <v>4.6002000000000001</v>
      </c>
      <c r="AF324">
        <v>196</v>
      </c>
      <c r="AG324" t="s">
        <v>532</v>
      </c>
      <c r="AH324">
        <v>17</v>
      </c>
      <c r="AI324" s="35">
        <v>1.01E-2</v>
      </c>
      <c r="AK324">
        <v>377</v>
      </c>
      <c r="AL324" t="s">
        <v>1380</v>
      </c>
      <c r="AM324">
        <v>1</v>
      </c>
    </row>
    <row r="325" spans="1:39" x14ac:dyDescent="0.25">
      <c r="A325">
        <v>118</v>
      </c>
      <c r="B325">
        <v>180</v>
      </c>
      <c r="C325" t="s">
        <v>526</v>
      </c>
      <c r="D325" s="1">
        <f t="shared" si="16"/>
        <v>510</v>
      </c>
      <c r="E325" s="2">
        <v>60</v>
      </c>
      <c r="F325" s="3">
        <v>105</v>
      </c>
      <c r="G325" s="4">
        <v>60</v>
      </c>
      <c r="H325" s="5">
        <v>120</v>
      </c>
      <c r="I325" s="4">
        <v>60</v>
      </c>
      <c r="J325" s="6">
        <v>105</v>
      </c>
      <c r="K325">
        <v>510</v>
      </c>
      <c r="L325" s="9" t="s">
        <v>599</v>
      </c>
      <c r="M325" t="s">
        <v>1096</v>
      </c>
      <c r="N325" s="19"/>
      <c r="P325">
        <v>180</v>
      </c>
      <c r="Q325" t="str">
        <f t="shared" si="17"/>
        <v>Zoroark</v>
      </c>
      <c r="T325">
        <v>251</v>
      </c>
      <c r="U325" t="s">
        <v>956</v>
      </c>
      <c r="W325" s="16" t="s">
        <v>837</v>
      </c>
      <c r="Z325">
        <v>94</v>
      </c>
      <c r="AA325" t="s">
        <v>1618</v>
      </c>
      <c r="AB325">
        <v>11</v>
      </c>
      <c r="AC325" s="35">
        <v>0.65449999999999997</v>
      </c>
      <c r="AD325" s="36">
        <f t="shared" si="18"/>
        <v>7.1994999999999996</v>
      </c>
      <c r="AF325">
        <v>176</v>
      </c>
      <c r="AG325" t="s">
        <v>571</v>
      </c>
      <c r="AH325">
        <v>20</v>
      </c>
      <c r="AI325" s="35">
        <v>1.1900000000000001E-2</v>
      </c>
      <c r="AK325">
        <v>378</v>
      </c>
      <c r="AL325" t="s">
        <v>1412</v>
      </c>
      <c r="AM325">
        <v>1</v>
      </c>
    </row>
    <row r="326" spans="1:39" x14ac:dyDescent="0.25">
      <c r="A326">
        <v>214</v>
      </c>
      <c r="B326">
        <v>181</v>
      </c>
      <c r="C326" t="s">
        <v>92</v>
      </c>
      <c r="D326" s="1">
        <f t="shared" si="16"/>
        <v>330</v>
      </c>
      <c r="E326" s="2">
        <v>50</v>
      </c>
      <c r="F326" s="3">
        <v>70</v>
      </c>
      <c r="G326" s="4">
        <v>55</v>
      </c>
      <c r="H326" s="5">
        <v>50</v>
      </c>
      <c r="I326" s="4">
        <v>50</v>
      </c>
      <c r="J326" s="6">
        <v>55</v>
      </c>
      <c r="K326">
        <v>330</v>
      </c>
      <c r="L326" s="9" t="s">
        <v>657</v>
      </c>
      <c r="M326" t="s">
        <v>659</v>
      </c>
      <c r="N326" s="19" t="s">
        <v>1116</v>
      </c>
      <c r="P326">
        <v>181</v>
      </c>
      <c r="Q326" t="str">
        <f t="shared" si="17"/>
        <v>Droid</v>
      </c>
      <c r="R326">
        <v>25</v>
      </c>
      <c r="T326">
        <v>252</v>
      </c>
      <c r="U326" t="s">
        <v>957</v>
      </c>
      <c r="AK326">
        <v>379</v>
      </c>
      <c r="AL326" t="s">
        <v>1367</v>
      </c>
      <c r="AM326">
        <v>1</v>
      </c>
    </row>
    <row r="327" spans="1:39" x14ac:dyDescent="0.25">
      <c r="A327">
        <v>215</v>
      </c>
      <c r="B327">
        <v>182</v>
      </c>
      <c r="C327" t="s">
        <v>93</v>
      </c>
      <c r="D327" s="1">
        <f t="shared" si="16"/>
        <v>430</v>
      </c>
      <c r="E327" s="2">
        <v>65</v>
      </c>
      <c r="F327" s="3">
        <v>75</v>
      </c>
      <c r="G327" s="4">
        <v>105</v>
      </c>
      <c r="H327" s="5">
        <v>50</v>
      </c>
      <c r="I327" s="4">
        <v>75</v>
      </c>
      <c r="J327" s="6">
        <v>60</v>
      </c>
      <c r="K327">
        <v>430</v>
      </c>
      <c r="L327" s="9" t="s">
        <v>657</v>
      </c>
      <c r="M327" t="s">
        <v>659</v>
      </c>
      <c r="N327" s="19" t="s">
        <v>1116</v>
      </c>
      <c r="P327">
        <v>182</v>
      </c>
      <c r="Q327" t="str">
        <f t="shared" si="17"/>
        <v>Armoid</v>
      </c>
      <c r="R327">
        <v>50</v>
      </c>
      <c r="T327">
        <v>253</v>
      </c>
      <c r="U327" s="16" t="s">
        <v>958</v>
      </c>
      <c r="W327" s="30" t="s">
        <v>1019</v>
      </c>
      <c r="AK327">
        <v>380</v>
      </c>
      <c r="AL327" t="s">
        <v>1382</v>
      </c>
      <c r="AM327">
        <v>1</v>
      </c>
    </row>
    <row r="328" spans="1:39" x14ac:dyDescent="0.25">
      <c r="A328">
        <v>216</v>
      </c>
      <c r="B328">
        <v>183</v>
      </c>
      <c r="C328" t="s">
        <v>94</v>
      </c>
      <c r="D328" s="1">
        <f t="shared" si="16"/>
        <v>530</v>
      </c>
      <c r="E328" s="2">
        <v>70</v>
      </c>
      <c r="F328" s="3">
        <v>115</v>
      </c>
      <c r="G328" s="4">
        <v>115</v>
      </c>
      <c r="H328" s="5">
        <v>90</v>
      </c>
      <c r="I328" s="4">
        <v>75</v>
      </c>
      <c r="J328" s="6">
        <v>65</v>
      </c>
      <c r="K328">
        <v>530</v>
      </c>
      <c r="L328" s="9" t="s">
        <v>657</v>
      </c>
      <c r="M328" t="s">
        <v>659</v>
      </c>
      <c r="N328" s="19" t="s">
        <v>1116</v>
      </c>
      <c r="P328">
        <v>183</v>
      </c>
      <c r="Q328" t="str">
        <f t="shared" si="17"/>
        <v>Soldrota</v>
      </c>
      <c r="T328">
        <v>254</v>
      </c>
      <c r="U328" s="16" t="s">
        <v>959</v>
      </c>
      <c r="W328" s="26" t="s">
        <v>1047</v>
      </c>
      <c r="X328" s="23" t="s">
        <v>999</v>
      </c>
      <c r="AK328">
        <v>381</v>
      </c>
      <c r="AL328" t="s">
        <v>1373</v>
      </c>
      <c r="AM328">
        <v>1</v>
      </c>
    </row>
    <row r="329" spans="1:39" x14ac:dyDescent="0.25">
      <c r="A329">
        <v>228</v>
      </c>
      <c r="B329">
        <v>184</v>
      </c>
      <c r="C329" t="s">
        <v>101</v>
      </c>
      <c r="D329" s="1">
        <f t="shared" si="16"/>
        <v>390</v>
      </c>
      <c r="E329" s="2">
        <v>55</v>
      </c>
      <c r="F329" s="3">
        <v>76</v>
      </c>
      <c r="G329" s="4">
        <v>55</v>
      </c>
      <c r="H329" s="5">
        <v>54</v>
      </c>
      <c r="I329" s="4">
        <v>90</v>
      </c>
      <c r="J329" s="6">
        <v>60</v>
      </c>
      <c r="K329">
        <v>390</v>
      </c>
      <c r="L329" s="15" t="s">
        <v>625</v>
      </c>
      <c r="N329" s="19"/>
      <c r="P329">
        <v>184</v>
      </c>
      <c r="Q329" t="str">
        <f t="shared" si="17"/>
        <v>Tinkie</v>
      </c>
      <c r="R329">
        <v>26</v>
      </c>
      <c r="T329">
        <v>255</v>
      </c>
      <c r="U329" s="16" t="s">
        <v>960</v>
      </c>
      <c r="W329" s="30" t="s">
        <v>1019</v>
      </c>
      <c r="AL329" t="s">
        <v>1420</v>
      </c>
      <c r="AM329">
        <v>1</v>
      </c>
    </row>
    <row r="330" spans="1:39" x14ac:dyDescent="0.25">
      <c r="A330">
        <v>229</v>
      </c>
      <c r="B330">
        <v>185</v>
      </c>
      <c r="C330" t="s">
        <v>102</v>
      </c>
      <c r="D330" s="1">
        <f t="shared" si="16"/>
        <v>455</v>
      </c>
      <c r="E330" s="2">
        <v>75</v>
      </c>
      <c r="F330" s="3">
        <v>80</v>
      </c>
      <c r="G330" s="4">
        <v>75</v>
      </c>
      <c r="H330" s="5">
        <v>60</v>
      </c>
      <c r="I330" s="4">
        <v>90</v>
      </c>
      <c r="J330" s="6">
        <v>75</v>
      </c>
      <c r="K330">
        <v>455</v>
      </c>
      <c r="L330" s="15" t="s">
        <v>625</v>
      </c>
      <c r="N330" s="19"/>
      <c r="P330">
        <v>185</v>
      </c>
      <c r="Q330" t="str">
        <f t="shared" si="17"/>
        <v>Shawar</v>
      </c>
      <c r="R330">
        <v>50</v>
      </c>
      <c r="T330">
        <v>256</v>
      </c>
      <c r="U330" s="16" t="s">
        <v>961</v>
      </c>
      <c r="W330" s="30" t="s">
        <v>1019</v>
      </c>
      <c r="AL330" t="s">
        <v>1371</v>
      </c>
      <c r="AM330">
        <v>1</v>
      </c>
    </row>
    <row r="331" spans="1:39" x14ac:dyDescent="0.25">
      <c r="A331">
        <v>230</v>
      </c>
      <c r="B331">
        <v>186</v>
      </c>
      <c r="C331" t="s">
        <v>103</v>
      </c>
      <c r="D331" s="1">
        <f t="shared" si="16"/>
        <v>600</v>
      </c>
      <c r="E331" s="2">
        <v>100</v>
      </c>
      <c r="F331" s="3">
        <v>100</v>
      </c>
      <c r="G331" s="4">
        <v>100</v>
      </c>
      <c r="H331" s="5">
        <v>100</v>
      </c>
      <c r="I331" s="4">
        <v>100</v>
      </c>
      <c r="J331" s="6">
        <v>100</v>
      </c>
      <c r="K331">
        <v>600</v>
      </c>
      <c r="L331" s="15" t="s">
        <v>625</v>
      </c>
      <c r="N331" s="19"/>
      <c r="P331">
        <v>186</v>
      </c>
      <c r="Q331" t="str">
        <f t="shared" si="17"/>
        <v>Shaboom</v>
      </c>
      <c r="T331">
        <v>257</v>
      </c>
      <c r="U331" s="16" t="s">
        <v>962</v>
      </c>
      <c r="W331" s="26" t="s">
        <v>1048</v>
      </c>
      <c r="X331" s="23" t="s">
        <v>999</v>
      </c>
      <c r="AL331" t="s">
        <v>1400</v>
      </c>
      <c r="AM331">
        <v>1</v>
      </c>
    </row>
    <row r="332" spans="1:39" x14ac:dyDescent="0.25">
      <c r="A332">
        <v>231</v>
      </c>
      <c r="B332">
        <v>187</v>
      </c>
      <c r="C332" t="s">
        <v>95</v>
      </c>
      <c r="D332" s="1">
        <f t="shared" si="16"/>
        <v>350</v>
      </c>
      <c r="E332" s="2">
        <v>80</v>
      </c>
      <c r="F332" s="3">
        <v>40</v>
      </c>
      <c r="G332" s="4">
        <v>57</v>
      </c>
      <c r="H332" s="5">
        <v>63</v>
      </c>
      <c r="I332" s="4">
        <v>59</v>
      </c>
      <c r="J332" s="6">
        <v>51</v>
      </c>
      <c r="K332">
        <v>350</v>
      </c>
      <c r="L332" s="9" t="s">
        <v>664</v>
      </c>
      <c r="N332" s="19"/>
      <c r="P332">
        <v>187</v>
      </c>
      <c r="Q332" t="str">
        <f t="shared" si="17"/>
        <v>Dragee</v>
      </c>
      <c r="R332">
        <v>36</v>
      </c>
      <c r="T332">
        <v>258</v>
      </c>
      <c r="U332" s="16" t="s">
        <v>963</v>
      </c>
      <c r="W332" s="30" t="s">
        <v>831</v>
      </c>
      <c r="X332" s="24" t="s">
        <v>1020</v>
      </c>
      <c r="AL332" t="s">
        <v>1402</v>
      </c>
      <c r="AM332">
        <v>1</v>
      </c>
    </row>
    <row r="333" spans="1:39" x14ac:dyDescent="0.25">
      <c r="A333">
        <v>232</v>
      </c>
      <c r="B333">
        <v>188</v>
      </c>
      <c r="C333" t="s">
        <v>96</v>
      </c>
      <c r="D333" s="1">
        <f t="shared" si="16"/>
        <v>465</v>
      </c>
      <c r="E333" s="2">
        <v>85</v>
      </c>
      <c r="F333" s="3">
        <v>75</v>
      </c>
      <c r="G333" s="4">
        <v>80</v>
      </c>
      <c r="H333" s="5">
        <v>90</v>
      </c>
      <c r="I333" s="4">
        <v>75</v>
      </c>
      <c r="J333" s="6">
        <v>60</v>
      </c>
      <c r="K333">
        <v>465</v>
      </c>
      <c r="L333" s="9" t="s">
        <v>664</v>
      </c>
      <c r="N333" s="19"/>
      <c r="P333">
        <v>188</v>
      </c>
      <c r="Q333" t="str">
        <f t="shared" si="17"/>
        <v>Draga</v>
      </c>
      <c r="R333">
        <v>55</v>
      </c>
      <c r="T333">
        <v>259</v>
      </c>
      <c r="U333" s="16" t="s">
        <v>964</v>
      </c>
      <c r="W333" s="29" t="s">
        <v>837</v>
      </c>
      <c r="X333" s="23" t="s">
        <v>1020</v>
      </c>
      <c r="AL333" t="s">
        <v>1381</v>
      </c>
      <c r="AM333">
        <v>1</v>
      </c>
    </row>
    <row r="334" spans="1:39" x14ac:dyDescent="0.25">
      <c r="A334">
        <v>233</v>
      </c>
      <c r="B334">
        <v>189</v>
      </c>
      <c r="C334" t="s">
        <v>97</v>
      </c>
      <c r="D334" s="1">
        <f t="shared" si="16"/>
        <v>600</v>
      </c>
      <c r="E334" s="2">
        <v>95</v>
      </c>
      <c r="F334" s="3">
        <v>85</v>
      </c>
      <c r="G334" s="4">
        <v>90</v>
      </c>
      <c r="H334" s="5">
        <v>115</v>
      </c>
      <c r="I334" s="4">
        <v>125</v>
      </c>
      <c r="J334" s="6">
        <v>90</v>
      </c>
      <c r="K334">
        <v>600</v>
      </c>
      <c r="L334" s="9" t="s">
        <v>664</v>
      </c>
      <c r="N334" s="19"/>
      <c r="P334">
        <v>189</v>
      </c>
      <c r="Q334" t="str">
        <f t="shared" si="17"/>
        <v>Drageye</v>
      </c>
      <c r="T334">
        <v>260</v>
      </c>
      <c r="U334" s="16" t="s">
        <v>1059</v>
      </c>
      <c r="W334" s="30" t="s">
        <v>1019</v>
      </c>
      <c r="AK334">
        <v>9</v>
      </c>
      <c r="AL334" t="s">
        <v>1512</v>
      </c>
      <c r="AM334">
        <v>2</v>
      </c>
    </row>
    <row r="335" spans="1:39" x14ac:dyDescent="0.25">
      <c r="A335">
        <v>225</v>
      </c>
      <c r="B335">
        <v>190</v>
      </c>
      <c r="C335" t="s">
        <v>527</v>
      </c>
      <c r="D335" s="1">
        <f t="shared" si="16"/>
        <v>310</v>
      </c>
      <c r="E335" s="2">
        <v>90</v>
      </c>
      <c r="F335" s="3">
        <v>30</v>
      </c>
      <c r="G335" s="4">
        <v>30</v>
      </c>
      <c r="H335" s="5">
        <v>30</v>
      </c>
      <c r="I335" s="4">
        <v>100</v>
      </c>
      <c r="J335" s="6">
        <v>30</v>
      </c>
      <c r="K335">
        <v>310</v>
      </c>
      <c r="L335" s="9" t="s">
        <v>643</v>
      </c>
      <c r="M335" t="s">
        <v>607</v>
      </c>
      <c r="N335" s="19" t="s">
        <v>1091</v>
      </c>
      <c r="P335">
        <v>190</v>
      </c>
      <c r="Q335" t="str">
        <f t="shared" si="17"/>
        <v>Blobmo</v>
      </c>
      <c r="R335">
        <v>40</v>
      </c>
      <c r="AK335">
        <v>31</v>
      </c>
      <c r="AL335" t="s">
        <v>1208</v>
      </c>
      <c r="AM335">
        <v>2</v>
      </c>
    </row>
    <row r="336" spans="1:39" x14ac:dyDescent="0.25">
      <c r="A336">
        <v>226</v>
      </c>
      <c r="B336">
        <v>191</v>
      </c>
      <c r="C336" t="s">
        <v>528</v>
      </c>
      <c r="D336" s="1">
        <f t="shared" si="16"/>
        <v>420</v>
      </c>
      <c r="E336" s="2">
        <v>125</v>
      </c>
      <c r="F336" s="3">
        <v>45</v>
      </c>
      <c r="G336" s="4">
        <v>50</v>
      </c>
      <c r="H336" s="5">
        <v>45</v>
      </c>
      <c r="I336" s="4">
        <v>115</v>
      </c>
      <c r="J336" s="6">
        <v>40</v>
      </c>
      <c r="K336">
        <v>420</v>
      </c>
      <c r="L336" s="9" t="s">
        <v>643</v>
      </c>
      <c r="M336" t="s">
        <v>679</v>
      </c>
      <c r="N336" s="19" t="s">
        <v>1115</v>
      </c>
      <c r="P336">
        <v>191</v>
      </c>
      <c r="Q336" t="str">
        <f t="shared" si="17"/>
        <v>Nebulimb</v>
      </c>
      <c r="R336">
        <v>60</v>
      </c>
      <c r="T336" t="s">
        <v>1323</v>
      </c>
      <c r="U336" t="s">
        <v>1322</v>
      </c>
      <c r="AK336">
        <v>35</v>
      </c>
      <c r="AL336" t="s">
        <v>1230</v>
      </c>
      <c r="AM336">
        <v>2</v>
      </c>
    </row>
    <row r="337" spans="1:39" x14ac:dyDescent="0.25">
      <c r="A337">
        <v>227</v>
      </c>
      <c r="B337">
        <v>192</v>
      </c>
      <c r="C337" t="s">
        <v>798</v>
      </c>
      <c r="D337" s="1">
        <f t="shared" si="16"/>
        <v>585</v>
      </c>
      <c r="E337" s="2">
        <v>170</v>
      </c>
      <c r="F337" s="3">
        <v>135</v>
      </c>
      <c r="G337" s="4">
        <v>70</v>
      </c>
      <c r="H337" s="5">
        <v>55</v>
      </c>
      <c r="I337" s="4">
        <v>105</v>
      </c>
      <c r="J337" s="6">
        <v>50</v>
      </c>
      <c r="K337">
        <v>585</v>
      </c>
      <c r="L337" s="9" t="s">
        <v>657</v>
      </c>
      <c r="M337" t="s">
        <v>679</v>
      </c>
      <c r="N337" s="19" t="s">
        <v>1115</v>
      </c>
      <c r="P337">
        <v>192</v>
      </c>
      <c r="Q337" t="str">
        <f t="shared" si="17"/>
        <v>Galactasolder</v>
      </c>
      <c r="T337">
        <v>1</v>
      </c>
      <c r="U337">
        <v>1</v>
      </c>
      <c r="V337" s="10" t="s">
        <v>1327</v>
      </c>
      <c r="AK337">
        <v>64</v>
      </c>
      <c r="AL337" t="s">
        <v>1350</v>
      </c>
      <c r="AM337">
        <v>2</v>
      </c>
    </row>
    <row r="338" spans="1:39" x14ac:dyDescent="0.25">
      <c r="A338">
        <v>218</v>
      </c>
      <c r="B338">
        <v>193</v>
      </c>
      <c r="C338" t="s">
        <v>529</v>
      </c>
      <c r="D338" s="1">
        <f t="shared" ref="D338:D401" si="19">SUM($E338:$J338)</f>
        <v>415</v>
      </c>
      <c r="E338" s="2">
        <v>70</v>
      </c>
      <c r="F338" s="3">
        <v>33</v>
      </c>
      <c r="G338" s="4">
        <v>76</v>
      </c>
      <c r="H338" s="5">
        <v>58</v>
      </c>
      <c r="I338" s="4">
        <v>93</v>
      </c>
      <c r="J338" s="6">
        <v>85</v>
      </c>
      <c r="K338">
        <v>415</v>
      </c>
      <c r="L338" s="15" t="s">
        <v>665</v>
      </c>
      <c r="M338" t="s">
        <v>630</v>
      </c>
      <c r="N338" s="19" t="s">
        <v>1098</v>
      </c>
      <c r="P338">
        <v>193</v>
      </c>
      <c r="Q338" t="str">
        <f t="shared" ref="Q338:Q382" si="20">C338</f>
        <v>Consodust</v>
      </c>
      <c r="R338" t="s">
        <v>788</v>
      </c>
      <c r="T338">
        <v>2</v>
      </c>
      <c r="U338">
        <v>1</v>
      </c>
      <c r="V338" s="10" t="s">
        <v>1325</v>
      </c>
      <c r="AK338">
        <v>69</v>
      </c>
      <c r="AL338" t="s">
        <v>1413</v>
      </c>
      <c r="AM338">
        <v>2</v>
      </c>
    </row>
    <row r="339" spans="1:39" x14ac:dyDescent="0.25">
      <c r="A339">
        <v>219</v>
      </c>
      <c r="B339">
        <v>194</v>
      </c>
      <c r="C339" t="s">
        <v>530</v>
      </c>
      <c r="D339" s="1">
        <f t="shared" si="19"/>
        <v>525</v>
      </c>
      <c r="E339" s="2">
        <v>90</v>
      </c>
      <c r="F339" s="3">
        <v>150</v>
      </c>
      <c r="G339" s="4">
        <v>60</v>
      </c>
      <c r="H339" s="5">
        <v>65</v>
      </c>
      <c r="I339" s="4">
        <v>60</v>
      </c>
      <c r="J339" s="6">
        <v>100</v>
      </c>
      <c r="K339">
        <v>525</v>
      </c>
      <c r="L339" s="15" t="s">
        <v>665</v>
      </c>
      <c r="M339" t="s">
        <v>630</v>
      </c>
      <c r="N339" s="19" t="s">
        <v>1098</v>
      </c>
      <c r="P339">
        <v>194</v>
      </c>
      <c r="Q339" t="str">
        <f t="shared" si="20"/>
        <v>Cosmocrash</v>
      </c>
      <c r="T339">
        <v>3</v>
      </c>
      <c r="U339">
        <v>2</v>
      </c>
      <c r="V339" s="10" t="s">
        <v>1189</v>
      </c>
      <c r="W339" s="10" t="s">
        <v>1331</v>
      </c>
      <c r="AK339">
        <v>306</v>
      </c>
      <c r="AL339" t="s">
        <v>1264</v>
      </c>
      <c r="AM339">
        <v>2</v>
      </c>
    </row>
    <row r="340" spans="1:39" x14ac:dyDescent="0.25">
      <c r="A340">
        <v>223</v>
      </c>
      <c r="B340">
        <v>195</v>
      </c>
      <c r="C340" t="s">
        <v>531</v>
      </c>
      <c r="D340" s="1">
        <f t="shared" si="19"/>
        <v>450</v>
      </c>
      <c r="E340" s="2">
        <v>70</v>
      </c>
      <c r="F340" s="3">
        <v>65</v>
      </c>
      <c r="G340" s="4">
        <v>130</v>
      </c>
      <c r="H340" s="5">
        <v>55</v>
      </c>
      <c r="I340" s="4">
        <v>75</v>
      </c>
      <c r="J340" s="6">
        <v>55</v>
      </c>
      <c r="K340">
        <v>450</v>
      </c>
      <c r="L340" s="9" t="s">
        <v>679</v>
      </c>
      <c r="M340" t="s">
        <v>647</v>
      </c>
      <c r="N340" s="19" t="s">
        <v>1115</v>
      </c>
      <c r="P340">
        <v>195</v>
      </c>
      <c r="Q340" t="str">
        <f t="shared" si="20"/>
        <v>Rockmite</v>
      </c>
      <c r="R340" t="s">
        <v>785</v>
      </c>
      <c r="T340">
        <v>4</v>
      </c>
      <c r="U340">
        <v>4</v>
      </c>
      <c r="V340" s="10" t="s">
        <v>822</v>
      </c>
      <c r="W340" s="10" t="s">
        <v>812</v>
      </c>
      <c r="X340" s="10" t="s">
        <v>1324</v>
      </c>
      <c r="Y340" s="10" t="s">
        <v>1326</v>
      </c>
      <c r="AK340">
        <v>309</v>
      </c>
      <c r="AL340" t="s">
        <v>1256</v>
      </c>
      <c r="AM340">
        <v>2</v>
      </c>
    </row>
    <row r="341" spans="1:39" x14ac:dyDescent="0.25">
      <c r="A341">
        <v>224</v>
      </c>
      <c r="B341">
        <v>196</v>
      </c>
      <c r="C341" t="s">
        <v>532</v>
      </c>
      <c r="D341" s="1">
        <f t="shared" si="19"/>
        <v>540</v>
      </c>
      <c r="E341" s="2">
        <v>80</v>
      </c>
      <c r="F341" s="3">
        <v>75</v>
      </c>
      <c r="G341" s="4">
        <v>180</v>
      </c>
      <c r="H341" s="5">
        <v>65</v>
      </c>
      <c r="I341" s="4">
        <v>80</v>
      </c>
      <c r="J341" s="6">
        <v>60</v>
      </c>
      <c r="K341">
        <v>540</v>
      </c>
      <c r="L341" s="9" t="s">
        <v>679</v>
      </c>
      <c r="M341" t="s">
        <v>647</v>
      </c>
      <c r="N341" s="19" t="s">
        <v>1115</v>
      </c>
      <c r="P341">
        <v>196</v>
      </c>
      <c r="Q341" t="str">
        <f t="shared" si="20"/>
        <v>Stellarock</v>
      </c>
      <c r="T341">
        <v>5</v>
      </c>
      <c r="U341">
        <v>3</v>
      </c>
      <c r="V341" s="10" t="s">
        <v>837</v>
      </c>
      <c r="W341" s="10" t="s">
        <v>1330</v>
      </c>
      <c r="X341" s="10" t="s">
        <v>1507</v>
      </c>
      <c r="AK341">
        <v>312</v>
      </c>
      <c r="AL341" t="s">
        <v>1268</v>
      </c>
      <c r="AM341">
        <v>2</v>
      </c>
    </row>
    <row r="342" spans="1:39" x14ac:dyDescent="0.25">
      <c r="A342" s="10">
        <v>-10</v>
      </c>
      <c r="B342">
        <v>197</v>
      </c>
      <c r="C342" t="s">
        <v>533</v>
      </c>
      <c r="D342" s="1">
        <f t="shared" si="19"/>
        <v>400</v>
      </c>
      <c r="E342" s="2">
        <v>60</v>
      </c>
      <c r="F342" s="3">
        <v>30</v>
      </c>
      <c r="G342" s="4">
        <v>70</v>
      </c>
      <c r="H342" s="5">
        <v>80</v>
      </c>
      <c r="I342" s="4">
        <v>80</v>
      </c>
      <c r="J342" s="6">
        <v>80</v>
      </c>
      <c r="K342">
        <v>400</v>
      </c>
      <c r="L342" s="9" t="s">
        <v>660</v>
      </c>
      <c r="M342" s="31" t="s">
        <v>609</v>
      </c>
      <c r="N342" s="19" t="s">
        <v>607</v>
      </c>
      <c r="P342">
        <v>197</v>
      </c>
      <c r="Q342" t="str">
        <f t="shared" si="20"/>
        <v>Poof-E</v>
      </c>
      <c r="R342">
        <v>32</v>
      </c>
      <c r="T342">
        <v>6</v>
      </c>
      <c r="U342">
        <v>2</v>
      </c>
      <c r="V342" s="10" t="s">
        <v>838</v>
      </c>
      <c r="W342" s="10" t="s">
        <v>1671</v>
      </c>
      <c r="AK342">
        <v>33</v>
      </c>
      <c r="AL342" t="s">
        <v>1217</v>
      </c>
      <c r="AM342">
        <v>3</v>
      </c>
    </row>
    <row r="343" spans="1:39" x14ac:dyDescent="0.25">
      <c r="A343" s="10">
        <v>-11</v>
      </c>
      <c r="B343">
        <v>198</v>
      </c>
      <c r="C343" s="10" t="s">
        <v>534</v>
      </c>
      <c r="D343" s="1">
        <f t="shared" si="19"/>
        <v>500</v>
      </c>
      <c r="E343" s="2">
        <v>70</v>
      </c>
      <c r="F343" s="3">
        <v>75</v>
      </c>
      <c r="G343" s="4">
        <v>35</v>
      </c>
      <c r="H343" s="5">
        <v>150</v>
      </c>
      <c r="I343" s="4">
        <v>55</v>
      </c>
      <c r="J343" s="6">
        <v>115</v>
      </c>
      <c r="K343">
        <v>500</v>
      </c>
      <c r="L343" s="9" t="s">
        <v>660</v>
      </c>
      <c r="M343" t="s">
        <v>609</v>
      </c>
      <c r="N343" s="19" t="s">
        <v>607</v>
      </c>
      <c r="P343">
        <v>198</v>
      </c>
      <c r="Q343" t="str">
        <f t="shared" si="20"/>
        <v>Hast-E</v>
      </c>
      <c r="T343">
        <v>7</v>
      </c>
      <c r="U343">
        <v>5</v>
      </c>
      <c r="V343" s="10" t="s">
        <v>1326</v>
      </c>
      <c r="W343" s="10" t="s">
        <v>1328</v>
      </c>
      <c r="X343" s="10" t="s">
        <v>1329</v>
      </c>
      <c r="Y343" s="10" t="s">
        <v>842</v>
      </c>
      <c r="Z343" s="10" t="s">
        <v>1640</v>
      </c>
      <c r="AK343">
        <v>57</v>
      </c>
      <c r="AL343" t="s">
        <v>795</v>
      </c>
      <c r="AM343">
        <v>3</v>
      </c>
    </row>
    <row r="344" spans="1:39" x14ac:dyDescent="0.25">
      <c r="A344" s="10">
        <v>-7</v>
      </c>
      <c r="B344">
        <v>199</v>
      </c>
      <c r="C344" t="s">
        <v>535</v>
      </c>
      <c r="D344" s="1">
        <f t="shared" si="19"/>
        <v>330</v>
      </c>
      <c r="E344" s="2">
        <v>40</v>
      </c>
      <c r="F344" s="3">
        <v>75</v>
      </c>
      <c r="G344" s="4">
        <v>70</v>
      </c>
      <c r="H344" s="5">
        <v>30</v>
      </c>
      <c r="I344" s="4">
        <v>30</v>
      </c>
      <c r="J344" s="6">
        <v>85</v>
      </c>
      <c r="K344">
        <v>330</v>
      </c>
      <c r="L344" s="9" t="s">
        <v>657</v>
      </c>
      <c r="M344" t="s">
        <v>667</v>
      </c>
      <c r="N344" s="19" t="s">
        <v>1116</v>
      </c>
      <c r="P344">
        <v>199</v>
      </c>
      <c r="Q344" t="str">
        <f t="shared" si="20"/>
        <v>Droid-E</v>
      </c>
      <c r="R344">
        <v>25</v>
      </c>
      <c r="T344">
        <v>8</v>
      </c>
      <c r="U344">
        <v>1</v>
      </c>
      <c r="V344" s="10" t="s">
        <v>1672</v>
      </c>
      <c r="AK344">
        <v>58</v>
      </c>
      <c r="AL344" t="s">
        <v>796</v>
      </c>
      <c r="AM344">
        <v>3</v>
      </c>
    </row>
    <row r="345" spans="1:39" x14ac:dyDescent="0.25">
      <c r="A345" s="10">
        <v>-8</v>
      </c>
      <c r="B345">
        <v>200</v>
      </c>
      <c r="C345" t="s">
        <v>536</v>
      </c>
      <c r="D345" s="1">
        <f t="shared" si="19"/>
        <v>430</v>
      </c>
      <c r="E345" s="2">
        <v>50</v>
      </c>
      <c r="F345" s="3">
        <v>100</v>
      </c>
      <c r="G345" s="4">
        <v>75</v>
      </c>
      <c r="H345" s="5">
        <v>45</v>
      </c>
      <c r="I345" s="4">
        <v>55</v>
      </c>
      <c r="J345" s="6">
        <v>105</v>
      </c>
      <c r="K345">
        <v>430</v>
      </c>
      <c r="L345" s="9" t="s">
        <v>657</v>
      </c>
      <c r="M345" t="s">
        <v>667</v>
      </c>
      <c r="N345" s="19" t="s">
        <v>1116</v>
      </c>
      <c r="P345">
        <v>200</v>
      </c>
      <c r="Q345" t="str">
        <f t="shared" si="20"/>
        <v>Armoid-E</v>
      </c>
      <c r="R345">
        <v>50</v>
      </c>
      <c r="U345">
        <f>SUM(U337:U344)</f>
        <v>19</v>
      </c>
      <c r="AK345">
        <v>59</v>
      </c>
      <c r="AL345" t="s">
        <v>1353</v>
      </c>
      <c r="AM345">
        <v>3</v>
      </c>
    </row>
    <row r="346" spans="1:39" x14ac:dyDescent="0.25">
      <c r="A346" s="10">
        <v>-9</v>
      </c>
      <c r="B346">
        <v>201</v>
      </c>
      <c r="C346" t="s">
        <v>537</v>
      </c>
      <c r="D346" s="1">
        <f t="shared" si="19"/>
        <v>530</v>
      </c>
      <c r="E346" s="2">
        <v>75</v>
      </c>
      <c r="F346" s="3">
        <v>145</v>
      </c>
      <c r="G346" s="4">
        <v>85</v>
      </c>
      <c r="H346" s="5">
        <v>50</v>
      </c>
      <c r="I346" s="4">
        <v>65</v>
      </c>
      <c r="J346" s="6">
        <v>110</v>
      </c>
      <c r="K346">
        <v>530</v>
      </c>
      <c r="L346" s="9" t="s">
        <v>657</v>
      </c>
      <c r="M346" t="s">
        <v>667</v>
      </c>
      <c r="N346" s="19" t="s">
        <v>1116</v>
      </c>
      <c r="P346">
        <v>201</v>
      </c>
      <c r="Q346" t="str">
        <f t="shared" si="20"/>
        <v>Soldrota-E</v>
      </c>
      <c r="AK346">
        <v>62</v>
      </c>
      <c r="AL346" t="s">
        <v>1347</v>
      </c>
      <c r="AM346">
        <v>3</v>
      </c>
    </row>
    <row r="347" spans="1:39" x14ac:dyDescent="0.25">
      <c r="A347" s="10">
        <v>-14</v>
      </c>
      <c r="B347">
        <v>202</v>
      </c>
      <c r="C347" t="s">
        <v>538</v>
      </c>
      <c r="D347" s="1">
        <f t="shared" si="19"/>
        <v>360</v>
      </c>
      <c r="E347" s="2">
        <v>60</v>
      </c>
      <c r="F347" s="3">
        <v>65</v>
      </c>
      <c r="G347" s="4">
        <v>50</v>
      </c>
      <c r="H347" s="5">
        <v>75</v>
      </c>
      <c r="I347" s="4">
        <v>50</v>
      </c>
      <c r="J347" s="6">
        <v>60</v>
      </c>
      <c r="K347">
        <v>360</v>
      </c>
      <c r="L347" s="9" t="s">
        <v>606</v>
      </c>
      <c r="M347" t="s">
        <v>640</v>
      </c>
      <c r="N347" s="19"/>
      <c r="P347">
        <v>202</v>
      </c>
      <c r="Q347" t="str">
        <f t="shared" si="20"/>
        <v>Flamehox-E</v>
      </c>
      <c r="R347">
        <v>35</v>
      </c>
      <c r="AK347">
        <v>70</v>
      </c>
      <c r="AL347" t="s">
        <v>1251</v>
      </c>
      <c r="AM347">
        <v>3</v>
      </c>
    </row>
    <row r="348" spans="1:39" x14ac:dyDescent="0.25">
      <c r="A348" s="10">
        <v>-15</v>
      </c>
      <c r="B348">
        <v>203</v>
      </c>
      <c r="C348" t="s">
        <v>539</v>
      </c>
      <c r="D348" s="1">
        <f t="shared" si="19"/>
        <v>460</v>
      </c>
      <c r="E348" s="2">
        <v>90</v>
      </c>
      <c r="F348" s="3">
        <v>70</v>
      </c>
      <c r="G348" s="4">
        <v>80</v>
      </c>
      <c r="H348" s="5">
        <v>85</v>
      </c>
      <c r="I348" s="4">
        <v>65</v>
      </c>
      <c r="J348" s="6">
        <v>70</v>
      </c>
      <c r="K348">
        <v>460</v>
      </c>
      <c r="L348" s="9" t="s">
        <v>607</v>
      </c>
      <c r="M348" t="s">
        <v>640</v>
      </c>
      <c r="N348" s="19"/>
      <c r="P348">
        <v>203</v>
      </c>
      <c r="Q348" t="str">
        <f t="shared" si="20"/>
        <v>Fireshard-E</v>
      </c>
      <c r="R348">
        <v>55</v>
      </c>
      <c r="AK348">
        <v>71</v>
      </c>
      <c r="AL348" t="s">
        <v>1403</v>
      </c>
      <c r="AM348">
        <v>3</v>
      </c>
    </row>
    <row r="349" spans="1:39" x14ac:dyDescent="0.25">
      <c r="A349" s="10">
        <v>-16</v>
      </c>
      <c r="B349">
        <v>204</v>
      </c>
      <c r="C349" t="s">
        <v>540</v>
      </c>
      <c r="D349" s="1">
        <f t="shared" si="19"/>
        <v>560</v>
      </c>
      <c r="E349" s="2">
        <v>95</v>
      </c>
      <c r="F349" s="3">
        <v>90</v>
      </c>
      <c r="G349" s="4">
        <v>90</v>
      </c>
      <c r="H349" s="5">
        <v>120</v>
      </c>
      <c r="I349" s="4">
        <v>90</v>
      </c>
      <c r="J349" s="6">
        <v>75</v>
      </c>
      <c r="K349">
        <v>560</v>
      </c>
      <c r="L349" s="9" t="s">
        <v>607</v>
      </c>
      <c r="M349" t="s">
        <v>640</v>
      </c>
      <c r="N349" s="19"/>
      <c r="P349">
        <v>204</v>
      </c>
      <c r="Q349" t="str">
        <f t="shared" si="20"/>
        <v>Blastflames-E</v>
      </c>
      <c r="AK349">
        <v>74</v>
      </c>
      <c r="AL349" t="s">
        <v>1218</v>
      </c>
      <c r="AM349">
        <v>3</v>
      </c>
    </row>
    <row r="350" spans="1:39" x14ac:dyDescent="0.25">
      <c r="A350" s="10">
        <v>-1</v>
      </c>
      <c r="B350">
        <v>205</v>
      </c>
      <c r="C350" t="s">
        <v>541</v>
      </c>
      <c r="D350" s="1">
        <f t="shared" si="19"/>
        <v>325</v>
      </c>
      <c r="E350" s="2">
        <v>40</v>
      </c>
      <c r="F350" s="3">
        <v>65</v>
      </c>
      <c r="G350" s="4">
        <v>74</v>
      </c>
      <c r="H350" s="5">
        <v>49</v>
      </c>
      <c r="I350" s="4">
        <v>53</v>
      </c>
      <c r="J350" s="6">
        <v>44</v>
      </c>
      <c r="K350">
        <v>325</v>
      </c>
      <c r="L350" s="9" t="s">
        <v>616</v>
      </c>
      <c r="M350" t="s">
        <v>670</v>
      </c>
      <c r="N350" s="19"/>
      <c r="P350">
        <v>205</v>
      </c>
      <c r="Q350" t="str">
        <f t="shared" si="20"/>
        <v>Rocky-E</v>
      </c>
      <c r="R350">
        <v>22</v>
      </c>
      <c r="AK350">
        <v>78</v>
      </c>
      <c r="AL350" t="s">
        <v>1273</v>
      </c>
      <c r="AM350">
        <v>3</v>
      </c>
    </row>
    <row r="351" spans="1:39" x14ac:dyDescent="0.25">
      <c r="A351" s="10">
        <v>-2</v>
      </c>
      <c r="B351">
        <v>206</v>
      </c>
      <c r="C351" t="s">
        <v>542</v>
      </c>
      <c r="D351" s="1">
        <f t="shared" si="19"/>
        <v>425</v>
      </c>
      <c r="E351" s="2">
        <v>80</v>
      </c>
      <c r="F351" s="3">
        <v>77</v>
      </c>
      <c r="G351" s="4">
        <v>90</v>
      </c>
      <c r="H351" s="5">
        <v>77</v>
      </c>
      <c r="I351" s="4">
        <v>56</v>
      </c>
      <c r="J351" s="6">
        <v>45</v>
      </c>
      <c r="K351">
        <v>425</v>
      </c>
      <c r="L351" s="9" t="s">
        <v>616</v>
      </c>
      <c r="M351" t="s">
        <v>670</v>
      </c>
      <c r="N351" s="19"/>
      <c r="P351">
        <v>206</v>
      </c>
      <c r="Q351" t="str">
        <f t="shared" si="20"/>
        <v>Boulder-E</v>
      </c>
      <c r="R351" t="s">
        <v>793</v>
      </c>
      <c r="AK351">
        <v>80</v>
      </c>
      <c r="AL351" t="s">
        <v>1240</v>
      </c>
      <c r="AM351">
        <v>3</v>
      </c>
    </row>
    <row r="352" spans="1:39" x14ac:dyDescent="0.25">
      <c r="A352" s="10">
        <v>-3</v>
      </c>
      <c r="B352">
        <v>207</v>
      </c>
      <c r="C352" s="10" t="s">
        <v>543</v>
      </c>
      <c r="D352" s="1">
        <f t="shared" si="19"/>
        <v>525</v>
      </c>
      <c r="E352" s="2">
        <v>120</v>
      </c>
      <c r="F352" s="3">
        <v>66</v>
      </c>
      <c r="G352" s="4">
        <v>92</v>
      </c>
      <c r="H352" s="5">
        <v>122</v>
      </c>
      <c r="I352" s="4">
        <v>80</v>
      </c>
      <c r="J352" s="6">
        <v>45</v>
      </c>
      <c r="K352">
        <v>525</v>
      </c>
      <c r="L352" s="9" t="s">
        <v>616</v>
      </c>
      <c r="M352" t="s">
        <v>670</v>
      </c>
      <c r="N352" s="19"/>
      <c r="P352">
        <v>207</v>
      </c>
      <c r="Q352" t="str">
        <f t="shared" si="20"/>
        <v>Blaster-E</v>
      </c>
      <c r="AK352">
        <v>82</v>
      </c>
      <c r="AL352" t="s">
        <v>1267</v>
      </c>
      <c r="AM352">
        <v>3</v>
      </c>
    </row>
    <row r="353" spans="1:39" x14ac:dyDescent="0.25">
      <c r="A353" s="10">
        <v>-4</v>
      </c>
      <c r="B353">
        <v>208</v>
      </c>
      <c r="C353" t="s">
        <v>544</v>
      </c>
      <c r="D353" s="1">
        <f t="shared" si="19"/>
        <v>525</v>
      </c>
      <c r="E353" s="2">
        <v>120</v>
      </c>
      <c r="F353" s="3">
        <v>95</v>
      </c>
      <c r="G353" s="4">
        <v>70</v>
      </c>
      <c r="H353" s="5">
        <v>65</v>
      </c>
      <c r="I353" s="4">
        <v>130</v>
      </c>
      <c r="J353" s="6">
        <v>45</v>
      </c>
      <c r="K353">
        <v>525</v>
      </c>
      <c r="L353" s="9" t="s">
        <v>668</v>
      </c>
      <c r="M353" t="s">
        <v>617</v>
      </c>
      <c r="N353" s="19"/>
      <c r="P353">
        <v>208</v>
      </c>
      <c r="Q353" t="str">
        <f t="shared" si="20"/>
        <v>Crystallor-E</v>
      </c>
      <c r="R353" t="s">
        <v>784</v>
      </c>
      <c r="AK353">
        <v>303</v>
      </c>
      <c r="AL353" t="s">
        <v>1220</v>
      </c>
      <c r="AM353">
        <v>3</v>
      </c>
    </row>
    <row r="354" spans="1:39" x14ac:dyDescent="0.25">
      <c r="A354" s="10">
        <v>-5</v>
      </c>
      <c r="B354">
        <v>209</v>
      </c>
      <c r="C354" t="s">
        <v>545</v>
      </c>
      <c r="D354" s="1">
        <f t="shared" si="19"/>
        <v>200</v>
      </c>
      <c r="E354" s="2">
        <v>20</v>
      </c>
      <c r="F354" s="3">
        <v>10</v>
      </c>
      <c r="G354" s="4">
        <v>25</v>
      </c>
      <c r="H354" s="5">
        <v>45</v>
      </c>
      <c r="I354" s="4">
        <v>30</v>
      </c>
      <c r="J354" s="6">
        <v>70</v>
      </c>
      <c r="K354">
        <v>200</v>
      </c>
      <c r="L354" s="9" t="s">
        <v>614</v>
      </c>
      <c r="M354" t="s">
        <v>645</v>
      </c>
      <c r="N354" s="19"/>
      <c r="P354">
        <v>209</v>
      </c>
      <c r="Q354" t="str">
        <f t="shared" si="20"/>
        <v>Magikarp-E</v>
      </c>
      <c r="R354">
        <v>20</v>
      </c>
      <c r="AK354">
        <v>304</v>
      </c>
      <c r="AL354" t="s">
        <v>1221</v>
      </c>
      <c r="AM354">
        <v>3</v>
      </c>
    </row>
    <row r="355" spans="1:39" x14ac:dyDescent="0.25">
      <c r="A355" s="10">
        <v>-6</v>
      </c>
      <c r="B355">
        <v>210</v>
      </c>
      <c r="C355" t="s">
        <v>546</v>
      </c>
      <c r="D355" s="1">
        <f t="shared" si="19"/>
        <v>540</v>
      </c>
      <c r="E355" s="2">
        <v>105</v>
      </c>
      <c r="F355" s="3">
        <v>135</v>
      </c>
      <c r="G355" s="4">
        <v>80</v>
      </c>
      <c r="H355" s="5">
        <v>25</v>
      </c>
      <c r="I355" s="4">
        <v>110</v>
      </c>
      <c r="J355" s="6">
        <v>85</v>
      </c>
      <c r="K355">
        <v>540</v>
      </c>
      <c r="L355" s="9" t="s">
        <v>866</v>
      </c>
      <c r="M355" t="s">
        <v>669</v>
      </c>
      <c r="N355" s="19"/>
      <c r="O355" t="s">
        <v>853</v>
      </c>
      <c r="P355">
        <v>210</v>
      </c>
      <c r="Q355" t="str">
        <f t="shared" si="20"/>
        <v>Gyarados-E</v>
      </c>
      <c r="AK355">
        <v>305</v>
      </c>
      <c r="AL355" t="s">
        <v>1255</v>
      </c>
      <c r="AM355">
        <v>3</v>
      </c>
    </row>
    <row r="356" spans="1:39" x14ac:dyDescent="0.25">
      <c r="A356" s="10">
        <v>-17</v>
      </c>
      <c r="B356">
        <v>211</v>
      </c>
      <c r="C356" t="s">
        <v>547</v>
      </c>
      <c r="D356" s="1">
        <f t="shared" si="19"/>
        <v>430</v>
      </c>
      <c r="E356" s="2">
        <v>80</v>
      </c>
      <c r="F356" s="3">
        <v>65</v>
      </c>
      <c r="G356" s="4">
        <v>65</v>
      </c>
      <c r="H356" s="5">
        <v>105</v>
      </c>
      <c r="I356" s="4">
        <v>65</v>
      </c>
      <c r="J356" s="6">
        <v>50</v>
      </c>
      <c r="K356">
        <v>430</v>
      </c>
      <c r="L356" s="9" t="s">
        <v>606</v>
      </c>
      <c r="M356" t="s">
        <v>656</v>
      </c>
      <c r="N356" s="19" t="s">
        <v>1142</v>
      </c>
      <c r="P356">
        <v>211</v>
      </c>
      <c r="Q356" t="str">
        <f t="shared" si="20"/>
        <v>Shockfang</v>
      </c>
      <c r="AK356">
        <v>2</v>
      </c>
      <c r="AL356" t="s">
        <v>1235</v>
      </c>
      <c r="AM356">
        <v>4</v>
      </c>
    </row>
    <row r="357" spans="1:39" x14ac:dyDescent="0.25">
      <c r="A357" s="10">
        <v>-18</v>
      </c>
      <c r="B357">
        <v>212</v>
      </c>
      <c r="C357" s="10" t="s">
        <v>548</v>
      </c>
      <c r="D357" s="1">
        <f t="shared" si="19"/>
        <v>530</v>
      </c>
      <c r="E357" s="2">
        <v>90</v>
      </c>
      <c r="F357" s="3">
        <v>75</v>
      </c>
      <c r="G357" s="4">
        <v>75</v>
      </c>
      <c r="H357" s="5">
        <v>114</v>
      </c>
      <c r="I357" s="4">
        <v>70</v>
      </c>
      <c r="J357" s="6">
        <v>106</v>
      </c>
      <c r="K357">
        <v>530</v>
      </c>
      <c r="L357" s="9" t="s">
        <v>606</v>
      </c>
      <c r="M357" t="s">
        <v>656</v>
      </c>
      <c r="N357" s="19" t="s">
        <v>1142</v>
      </c>
      <c r="P357">
        <v>212</v>
      </c>
      <c r="Q357" t="str">
        <f t="shared" si="20"/>
        <v>Electrocobra</v>
      </c>
      <c r="R357">
        <v>40</v>
      </c>
      <c r="AK357">
        <v>32</v>
      </c>
      <c r="AL357" t="s">
        <v>1211</v>
      </c>
      <c r="AM357">
        <v>4</v>
      </c>
    </row>
    <row r="358" spans="1:39" x14ac:dyDescent="0.25">
      <c r="A358" s="48">
        <v>-17</v>
      </c>
      <c r="B358">
        <v>213</v>
      </c>
      <c r="C358" t="s">
        <v>549</v>
      </c>
      <c r="D358" s="1">
        <f t="shared" si="19"/>
        <v>430</v>
      </c>
      <c r="E358" s="2">
        <v>95</v>
      </c>
      <c r="F358" s="3">
        <v>105</v>
      </c>
      <c r="G358" s="4">
        <v>65</v>
      </c>
      <c r="H358" s="5">
        <v>35</v>
      </c>
      <c r="I358" s="4">
        <v>55</v>
      </c>
      <c r="J358" s="6">
        <v>75</v>
      </c>
      <c r="K358">
        <v>430</v>
      </c>
      <c r="L358" s="9" t="s">
        <v>608</v>
      </c>
      <c r="M358" t="s">
        <v>166</v>
      </c>
      <c r="N358" s="19" t="s">
        <v>1097</v>
      </c>
      <c r="P358">
        <v>213</v>
      </c>
      <c r="Q358" t="str">
        <f t="shared" si="20"/>
        <v>Nightrex</v>
      </c>
      <c r="AK358">
        <v>52</v>
      </c>
      <c r="AL358" t="s">
        <v>1228</v>
      </c>
      <c r="AM358">
        <v>4</v>
      </c>
    </row>
    <row r="359" spans="1:39" x14ac:dyDescent="0.25">
      <c r="A359" s="48">
        <v>-18</v>
      </c>
      <c r="B359">
        <v>214</v>
      </c>
      <c r="C359" t="s">
        <v>550</v>
      </c>
      <c r="D359" s="1">
        <f t="shared" si="19"/>
        <v>530</v>
      </c>
      <c r="E359" s="2">
        <v>134</v>
      </c>
      <c r="F359" s="3">
        <v>110</v>
      </c>
      <c r="G359" s="4">
        <v>101</v>
      </c>
      <c r="H359" s="5">
        <v>35</v>
      </c>
      <c r="I359" s="4">
        <v>85</v>
      </c>
      <c r="J359" s="6">
        <v>65</v>
      </c>
      <c r="K359">
        <v>530</v>
      </c>
      <c r="L359" s="9" t="s">
        <v>608</v>
      </c>
      <c r="M359" t="s">
        <v>166</v>
      </c>
      <c r="N359" s="19" t="s">
        <v>1097</v>
      </c>
      <c r="P359">
        <v>214</v>
      </c>
      <c r="Q359" t="str">
        <f t="shared" si="20"/>
        <v>Shadowsaur</v>
      </c>
      <c r="R359">
        <v>40</v>
      </c>
      <c r="AK359">
        <v>61</v>
      </c>
      <c r="AL359" t="s">
        <v>1366</v>
      </c>
      <c r="AM359">
        <v>4</v>
      </c>
    </row>
    <row r="360" spans="1:39" x14ac:dyDescent="0.25">
      <c r="A360" s="48">
        <v>-15</v>
      </c>
      <c r="B360">
        <v>215</v>
      </c>
      <c r="C360" t="s">
        <v>551</v>
      </c>
      <c r="D360" s="1">
        <f t="shared" si="19"/>
        <v>345</v>
      </c>
      <c r="E360" s="2">
        <v>60</v>
      </c>
      <c r="F360" s="3">
        <v>45</v>
      </c>
      <c r="G360" s="4">
        <v>52</v>
      </c>
      <c r="H360" s="5">
        <v>64</v>
      </c>
      <c r="I360" s="4">
        <v>65</v>
      </c>
      <c r="J360" s="6">
        <v>59</v>
      </c>
      <c r="K360">
        <v>345</v>
      </c>
      <c r="L360" s="9" t="s">
        <v>1096</v>
      </c>
      <c r="M360" t="s">
        <v>658</v>
      </c>
      <c r="N360" s="19"/>
      <c r="P360">
        <v>215</v>
      </c>
      <c r="Q360" t="str">
        <f t="shared" si="20"/>
        <v>Durfish-S</v>
      </c>
      <c r="AK360">
        <v>63</v>
      </c>
      <c r="AL360" t="s">
        <v>1206</v>
      </c>
      <c r="AM360">
        <v>4</v>
      </c>
    </row>
    <row r="361" spans="1:39" x14ac:dyDescent="0.25">
      <c r="A361" s="48">
        <v>-16</v>
      </c>
      <c r="B361">
        <v>216</v>
      </c>
      <c r="C361" t="s">
        <v>552</v>
      </c>
      <c r="D361" s="1">
        <f t="shared" si="19"/>
        <v>485</v>
      </c>
      <c r="E361" s="2">
        <v>65</v>
      </c>
      <c r="F361" s="3">
        <v>135</v>
      </c>
      <c r="G361" s="4">
        <v>65</v>
      </c>
      <c r="H361" s="5">
        <v>50</v>
      </c>
      <c r="I361" s="4">
        <v>70</v>
      </c>
      <c r="J361" s="6">
        <v>100</v>
      </c>
      <c r="K361">
        <v>485</v>
      </c>
      <c r="L361" s="9" t="s">
        <v>1096</v>
      </c>
      <c r="M361" t="s">
        <v>658</v>
      </c>
      <c r="N361" s="19"/>
      <c r="P361">
        <v>216</v>
      </c>
      <c r="Q361" t="str">
        <f t="shared" si="20"/>
        <v>Dompster-S</v>
      </c>
      <c r="R361" t="s">
        <v>791</v>
      </c>
      <c r="AK361">
        <v>66</v>
      </c>
      <c r="AL361" t="s">
        <v>1214</v>
      </c>
      <c r="AM361">
        <v>4</v>
      </c>
    </row>
    <row r="362" spans="1:39" x14ac:dyDescent="0.25">
      <c r="A362" s="48">
        <v>-1</v>
      </c>
      <c r="B362">
        <v>217</v>
      </c>
      <c r="C362" t="s">
        <v>553</v>
      </c>
      <c r="D362" s="1">
        <f t="shared" si="19"/>
        <v>275</v>
      </c>
      <c r="E362" s="2">
        <v>20</v>
      </c>
      <c r="F362" s="3">
        <v>50</v>
      </c>
      <c r="G362" s="4">
        <v>50</v>
      </c>
      <c r="H362" s="5">
        <v>35</v>
      </c>
      <c r="I362" s="4">
        <v>50</v>
      </c>
      <c r="J362" s="6">
        <v>70</v>
      </c>
      <c r="K362">
        <v>275</v>
      </c>
      <c r="L362" s="9" t="s">
        <v>599</v>
      </c>
      <c r="N362" s="19" t="s">
        <v>162</v>
      </c>
      <c r="P362">
        <v>217</v>
      </c>
      <c r="Q362" t="str">
        <f t="shared" si="20"/>
        <v>Wormite-S</v>
      </c>
      <c r="AK362">
        <v>67</v>
      </c>
      <c r="AL362" t="s">
        <v>1239</v>
      </c>
      <c r="AM362">
        <v>4</v>
      </c>
    </row>
    <row r="363" spans="1:39" x14ac:dyDescent="0.25">
      <c r="A363" s="48">
        <v>-2</v>
      </c>
      <c r="B363">
        <v>218</v>
      </c>
      <c r="C363" t="s">
        <v>554</v>
      </c>
      <c r="D363" s="1">
        <f t="shared" si="19"/>
        <v>385</v>
      </c>
      <c r="E363" s="2">
        <v>40</v>
      </c>
      <c r="F363" s="3">
        <v>75</v>
      </c>
      <c r="G363" s="4">
        <v>75</v>
      </c>
      <c r="H363" s="5">
        <v>60</v>
      </c>
      <c r="I363" s="4">
        <v>50</v>
      </c>
      <c r="J363" s="6">
        <v>85</v>
      </c>
      <c r="K363">
        <v>385</v>
      </c>
      <c r="L363" s="9" t="s">
        <v>599</v>
      </c>
      <c r="N363" s="19" t="s">
        <v>162</v>
      </c>
      <c r="P363">
        <v>218</v>
      </c>
      <c r="Q363" t="str">
        <f t="shared" si="20"/>
        <v>Wormbot-S</v>
      </c>
      <c r="R363">
        <v>20</v>
      </c>
      <c r="AK363">
        <v>68</v>
      </c>
      <c r="AL363" t="s">
        <v>1346</v>
      </c>
      <c r="AM363">
        <v>4</v>
      </c>
    </row>
    <row r="364" spans="1:39" x14ac:dyDescent="0.25">
      <c r="A364" s="48">
        <v>-3</v>
      </c>
      <c r="B364">
        <v>219</v>
      </c>
      <c r="C364" t="s">
        <v>555</v>
      </c>
      <c r="D364" s="1">
        <f t="shared" si="19"/>
        <v>520</v>
      </c>
      <c r="E364" s="2">
        <v>100</v>
      </c>
      <c r="F364" s="3">
        <v>100</v>
      </c>
      <c r="G364" s="4">
        <v>90</v>
      </c>
      <c r="H364" s="5">
        <v>100</v>
      </c>
      <c r="I364" s="4">
        <v>50</v>
      </c>
      <c r="J364" s="6">
        <v>80</v>
      </c>
      <c r="K364">
        <v>520</v>
      </c>
      <c r="L364" s="9" t="s">
        <v>599</v>
      </c>
      <c r="N364" s="19" t="s">
        <v>162</v>
      </c>
      <c r="P364">
        <v>219</v>
      </c>
      <c r="Q364" t="str">
        <f t="shared" si="20"/>
        <v>Wormatron-S</v>
      </c>
      <c r="R364">
        <v>45</v>
      </c>
      <c r="AK364">
        <v>72</v>
      </c>
      <c r="AL364" t="s">
        <v>1352</v>
      </c>
      <c r="AM364">
        <v>4</v>
      </c>
    </row>
    <row r="365" spans="1:39" x14ac:dyDescent="0.25">
      <c r="A365" s="48">
        <v>-12</v>
      </c>
      <c r="B365">
        <v>220</v>
      </c>
      <c r="C365" t="s">
        <v>556</v>
      </c>
      <c r="D365" s="1">
        <f t="shared" si="19"/>
        <v>435</v>
      </c>
      <c r="E365" s="2">
        <v>55</v>
      </c>
      <c r="F365" s="3">
        <v>42</v>
      </c>
      <c r="G365" s="4">
        <v>38</v>
      </c>
      <c r="H365" s="5">
        <v>110</v>
      </c>
      <c r="I365" s="4">
        <v>110</v>
      </c>
      <c r="J365" s="6">
        <v>80</v>
      </c>
      <c r="K365">
        <v>435</v>
      </c>
      <c r="L365" s="9" t="s">
        <v>607</v>
      </c>
      <c r="N365" s="19" t="s">
        <v>1097</v>
      </c>
      <c r="P365">
        <v>220</v>
      </c>
      <c r="Q365" t="str">
        <f t="shared" si="20"/>
        <v>Cluuz-S</v>
      </c>
      <c r="AK365">
        <v>75</v>
      </c>
      <c r="AL365" t="s">
        <v>1341</v>
      </c>
      <c r="AM365">
        <v>4</v>
      </c>
    </row>
    <row r="366" spans="1:39" x14ac:dyDescent="0.25">
      <c r="A366" s="48">
        <v>-13</v>
      </c>
      <c r="B366">
        <v>221</v>
      </c>
      <c r="C366" t="s">
        <v>557</v>
      </c>
      <c r="D366" s="1">
        <f t="shared" si="19"/>
        <v>480</v>
      </c>
      <c r="E366" s="2">
        <v>80</v>
      </c>
      <c r="F366" s="3">
        <v>70</v>
      </c>
      <c r="G366" s="4">
        <v>50</v>
      </c>
      <c r="H366" s="5">
        <v>100</v>
      </c>
      <c r="I366" s="4">
        <v>100</v>
      </c>
      <c r="J366" s="6">
        <v>80</v>
      </c>
      <c r="K366">
        <v>480</v>
      </c>
      <c r="L366" s="9" t="s">
        <v>607</v>
      </c>
      <c r="N366" s="19" t="s">
        <v>1097</v>
      </c>
      <c r="P366">
        <v>221</v>
      </c>
      <c r="Q366" t="str">
        <f t="shared" si="20"/>
        <v>Zurrclu-S</v>
      </c>
      <c r="R366" t="s">
        <v>791</v>
      </c>
      <c r="AL366" t="s">
        <v>1414</v>
      </c>
      <c r="AM366">
        <v>4</v>
      </c>
    </row>
    <row r="367" spans="1:39" x14ac:dyDescent="0.25">
      <c r="A367" s="48">
        <v>-14</v>
      </c>
      <c r="B367">
        <v>222</v>
      </c>
      <c r="C367" t="s">
        <v>799</v>
      </c>
      <c r="D367" s="1">
        <f t="shared" si="19"/>
        <v>540</v>
      </c>
      <c r="E367" s="2">
        <v>95</v>
      </c>
      <c r="F367" s="3">
        <v>75</v>
      </c>
      <c r="G367" s="4">
        <v>65</v>
      </c>
      <c r="H367" s="5">
        <v>123</v>
      </c>
      <c r="I367" s="4">
        <v>97</v>
      </c>
      <c r="J367" s="6">
        <v>85</v>
      </c>
      <c r="K367">
        <v>540</v>
      </c>
      <c r="L367" s="9" t="s">
        <v>607</v>
      </c>
      <c r="N367" s="19" t="s">
        <v>1097</v>
      </c>
      <c r="P367">
        <v>222</v>
      </c>
      <c r="Q367" t="str">
        <f t="shared" si="20"/>
        <v>Zurroaratr-S</v>
      </c>
      <c r="R367" t="s">
        <v>785</v>
      </c>
      <c r="AK367">
        <v>1</v>
      </c>
      <c r="AL367" t="s">
        <v>1258</v>
      </c>
      <c r="AM367">
        <v>5</v>
      </c>
    </row>
    <row r="368" spans="1:39" x14ac:dyDescent="0.25">
      <c r="A368" s="48">
        <v>-4</v>
      </c>
      <c r="B368">
        <v>223</v>
      </c>
      <c r="C368" t="s">
        <v>558</v>
      </c>
      <c r="D368" s="1">
        <f t="shared" si="19"/>
        <v>306</v>
      </c>
      <c r="E368" s="2">
        <v>30</v>
      </c>
      <c r="F368" s="3">
        <v>20</v>
      </c>
      <c r="G368" s="4">
        <v>40</v>
      </c>
      <c r="H368" s="5">
        <v>83</v>
      </c>
      <c r="I368" s="4">
        <v>50</v>
      </c>
      <c r="J368" s="6">
        <v>83</v>
      </c>
      <c r="K368">
        <v>306</v>
      </c>
      <c r="L368" s="9" t="s">
        <v>639</v>
      </c>
      <c r="M368" t="s">
        <v>671</v>
      </c>
      <c r="N368" s="19" t="s">
        <v>640</v>
      </c>
      <c r="P368">
        <v>223</v>
      </c>
      <c r="Q368" t="str">
        <f t="shared" si="20"/>
        <v>Iglite-S</v>
      </c>
      <c r="R368">
        <v>16</v>
      </c>
      <c r="AK368">
        <v>34</v>
      </c>
      <c r="AL368" t="s">
        <v>1254</v>
      </c>
      <c r="AM368">
        <v>5</v>
      </c>
    </row>
    <row r="369" spans="1:40" x14ac:dyDescent="0.25">
      <c r="A369" s="48">
        <v>-5</v>
      </c>
      <c r="B369">
        <v>224</v>
      </c>
      <c r="C369" t="s">
        <v>559</v>
      </c>
      <c r="D369" s="1">
        <f t="shared" si="19"/>
        <v>400</v>
      </c>
      <c r="E369" s="2">
        <v>47</v>
      </c>
      <c r="F369" s="3">
        <v>98</v>
      </c>
      <c r="G369" s="4">
        <v>60</v>
      </c>
      <c r="H369" s="5">
        <v>40</v>
      </c>
      <c r="I369" s="4">
        <v>62</v>
      </c>
      <c r="J369" s="6">
        <v>93</v>
      </c>
      <c r="K369">
        <v>400</v>
      </c>
      <c r="L369" s="9" t="s">
        <v>622</v>
      </c>
      <c r="M369" t="s">
        <v>671</v>
      </c>
      <c r="N369" s="19" t="s">
        <v>640</v>
      </c>
      <c r="P369">
        <v>224</v>
      </c>
      <c r="Q369" t="str">
        <f t="shared" si="20"/>
        <v>Blaxer-S</v>
      </c>
      <c r="R369">
        <v>36</v>
      </c>
      <c r="AK369">
        <v>53</v>
      </c>
      <c r="AL369" t="s">
        <v>1364</v>
      </c>
      <c r="AM369">
        <v>5</v>
      </c>
    </row>
    <row r="370" spans="1:40" x14ac:dyDescent="0.25">
      <c r="A370" s="48">
        <v>-6</v>
      </c>
      <c r="B370">
        <v>225</v>
      </c>
      <c r="C370" t="s">
        <v>560</v>
      </c>
      <c r="D370" s="1">
        <f t="shared" si="19"/>
        <v>516</v>
      </c>
      <c r="E370" s="2">
        <v>95</v>
      </c>
      <c r="F370" s="3">
        <v>115</v>
      </c>
      <c r="G370" s="4">
        <v>65</v>
      </c>
      <c r="H370" s="5">
        <v>46</v>
      </c>
      <c r="I370" s="4">
        <v>95</v>
      </c>
      <c r="J370" s="6">
        <v>100</v>
      </c>
      <c r="K370">
        <v>516</v>
      </c>
      <c r="L370" s="9" t="s">
        <v>622</v>
      </c>
      <c r="M370" t="s">
        <v>671</v>
      </c>
      <c r="N370" s="19" t="s">
        <v>640</v>
      </c>
      <c r="P370">
        <v>225</v>
      </c>
      <c r="Q370" t="str">
        <f t="shared" si="20"/>
        <v>Pyrator-S</v>
      </c>
      <c r="AK370">
        <v>55</v>
      </c>
      <c r="AL370" t="s">
        <v>1222</v>
      </c>
      <c r="AM370">
        <v>5</v>
      </c>
    </row>
    <row r="371" spans="1:40" x14ac:dyDescent="0.25">
      <c r="A371" s="48">
        <v>-7</v>
      </c>
      <c r="B371">
        <v>226</v>
      </c>
      <c r="C371" t="s">
        <v>561</v>
      </c>
      <c r="D371" s="1">
        <f t="shared" si="19"/>
        <v>288</v>
      </c>
      <c r="E371" s="2">
        <v>35</v>
      </c>
      <c r="F371" s="3">
        <v>40</v>
      </c>
      <c r="G371" s="4">
        <v>54</v>
      </c>
      <c r="H371" s="5">
        <v>65</v>
      </c>
      <c r="I371" s="4">
        <v>64</v>
      </c>
      <c r="J371" s="6">
        <v>30</v>
      </c>
      <c r="K371">
        <v>288</v>
      </c>
      <c r="L371" s="9" t="s">
        <v>620</v>
      </c>
      <c r="M371" t="s">
        <v>670</v>
      </c>
      <c r="N371" s="19" t="s">
        <v>1115</v>
      </c>
      <c r="P371">
        <v>226</v>
      </c>
      <c r="Q371" t="str">
        <f t="shared" si="20"/>
        <v>Ekans-S</v>
      </c>
      <c r="R371">
        <v>32</v>
      </c>
      <c r="AK371">
        <v>65</v>
      </c>
      <c r="AL371" t="s">
        <v>1216</v>
      </c>
      <c r="AM371">
        <v>5</v>
      </c>
    </row>
    <row r="372" spans="1:40" x14ac:dyDescent="0.25">
      <c r="A372" s="48">
        <v>-8</v>
      </c>
      <c r="B372">
        <v>227</v>
      </c>
      <c r="C372" t="s">
        <v>562</v>
      </c>
      <c r="D372" s="1">
        <f t="shared" si="19"/>
        <v>490</v>
      </c>
      <c r="E372" s="2">
        <v>80</v>
      </c>
      <c r="F372" s="3">
        <v>40</v>
      </c>
      <c r="G372" s="4">
        <v>90</v>
      </c>
      <c r="H372" s="5">
        <v>115</v>
      </c>
      <c r="I372" s="4">
        <v>90</v>
      </c>
      <c r="J372" s="6">
        <v>75</v>
      </c>
      <c r="K372">
        <v>455</v>
      </c>
      <c r="L372" s="9" t="s">
        <v>620</v>
      </c>
      <c r="M372" t="s">
        <v>670</v>
      </c>
      <c r="N372" s="19" t="s">
        <v>1115</v>
      </c>
      <c r="P372">
        <v>227</v>
      </c>
      <c r="Q372" t="str">
        <f t="shared" si="20"/>
        <v>Arbok-S</v>
      </c>
      <c r="AK372">
        <v>79</v>
      </c>
      <c r="AL372" t="s">
        <v>1343</v>
      </c>
      <c r="AM372">
        <v>5</v>
      </c>
    </row>
    <row r="373" spans="1:40" x14ac:dyDescent="0.25">
      <c r="A373">
        <v>243</v>
      </c>
      <c r="B373">
        <v>228</v>
      </c>
      <c r="C373" t="s">
        <v>1647</v>
      </c>
      <c r="D373" s="1">
        <f t="shared" si="19"/>
        <v>600</v>
      </c>
      <c r="E373" s="2">
        <v>140</v>
      </c>
      <c r="F373" s="3">
        <v>25</v>
      </c>
      <c r="G373" s="4">
        <v>150</v>
      </c>
      <c r="H373" s="5">
        <v>77</v>
      </c>
      <c r="I373" s="4">
        <v>150</v>
      </c>
      <c r="J373" s="6">
        <v>58</v>
      </c>
      <c r="K373">
        <v>600</v>
      </c>
      <c r="L373" s="9" t="s">
        <v>633</v>
      </c>
      <c r="N373" s="19"/>
      <c r="P373">
        <v>228</v>
      </c>
      <c r="Q373" t="str">
        <f t="shared" si="20"/>
        <v>Blohadel</v>
      </c>
      <c r="R373" t="s">
        <v>859</v>
      </c>
      <c r="AK373">
        <v>162</v>
      </c>
      <c r="AL373" t="s">
        <v>1479</v>
      </c>
      <c r="AM373">
        <v>5</v>
      </c>
    </row>
    <row r="374" spans="1:40" x14ac:dyDescent="0.25">
      <c r="A374">
        <v>240</v>
      </c>
      <c r="B374">
        <v>229</v>
      </c>
      <c r="C374" t="s">
        <v>1646</v>
      </c>
      <c r="D374" s="1">
        <f t="shared" si="19"/>
        <v>600</v>
      </c>
      <c r="E374" s="2">
        <v>70</v>
      </c>
      <c r="F374" s="3">
        <v>125</v>
      </c>
      <c r="G374" s="4">
        <v>60</v>
      </c>
      <c r="H374" s="5">
        <v>125</v>
      </c>
      <c r="I374" s="4">
        <v>75</v>
      </c>
      <c r="J374" s="6">
        <v>145</v>
      </c>
      <c r="K374">
        <v>600</v>
      </c>
      <c r="L374" s="9" t="s">
        <v>672</v>
      </c>
      <c r="N374" s="19"/>
      <c r="P374">
        <v>229</v>
      </c>
      <c r="Q374" t="str">
        <f t="shared" si="20"/>
        <v>Perilyte</v>
      </c>
      <c r="R374" t="s">
        <v>863</v>
      </c>
      <c r="AK374">
        <v>163</v>
      </c>
      <c r="AL374" t="s">
        <v>1480</v>
      </c>
      <c r="AM374">
        <v>5</v>
      </c>
    </row>
    <row r="375" spans="1:40" x14ac:dyDescent="0.25">
      <c r="A375">
        <v>244</v>
      </c>
      <c r="B375">
        <v>230</v>
      </c>
      <c r="C375" t="s">
        <v>1650</v>
      </c>
      <c r="D375" s="1">
        <f t="shared" si="19"/>
        <v>600</v>
      </c>
      <c r="E375" s="2">
        <v>80</v>
      </c>
      <c r="F375" s="3">
        <v>75</v>
      </c>
      <c r="G375" s="4">
        <v>85</v>
      </c>
      <c r="H375" s="5">
        <v>155</v>
      </c>
      <c r="I375" s="4">
        <v>85</v>
      </c>
      <c r="J375" s="6">
        <v>120</v>
      </c>
      <c r="K375">
        <v>600</v>
      </c>
      <c r="L375" s="15" t="s">
        <v>665</v>
      </c>
      <c r="N375" s="19"/>
      <c r="P375">
        <v>230</v>
      </c>
      <c r="Q375" t="str">
        <f t="shared" si="20"/>
        <v>Faulette</v>
      </c>
      <c r="R375" t="s">
        <v>860</v>
      </c>
      <c r="AK375">
        <v>311</v>
      </c>
      <c r="AL375" t="s">
        <v>1252</v>
      </c>
      <c r="AM375">
        <v>5</v>
      </c>
    </row>
    <row r="376" spans="1:40" x14ac:dyDescent="0.25">
      <c r="A376">
        <v>242</v>
      </c>
      <c r="B376">
        <v>231</v>
      </c>
      <c r="C376" t="s">
        <v>1648</v>
      </c>
      <c r="D376" s="1">
        <f t="shared" si="19"/>
        <v>600</v>
      </c>
      <c r="E376" s="2">
        <v>125</v>
      </c>
      <c r="F376" s="3">
        <v>110</v>
      </c>
      <c r="G376" s="4">
        <v>130</v>
      </c>
      <c r="H376" s="5">
        <v>55</v>
      </c>
      <c r="I376" s="4">
        <v>90</v>
      </c>
      <c r="J376" s="6">
        <v>90</v>
      </c>
      <c r="K376">
        <v>600</v>
      </c>
      <c r="L376" s="9" t="s">
        <v>630</v>
      </c>
      <c r="N376" s="19"/>
      <c r="P376">
        <v>231</v>
      </c>
      <c r="Q376" t="str">
        <f t="shared" si="20"/>
        <v>Sasquotta</v>
      </c>
      <c r="R376" t="s">
        <v>816</v>
      </c>
      <c r="AL376" t="s">
        <v>1415</v>
      </c>
      <c r="AM376">
        <v>5</v>
      </c>
    </row>
    <row r="377" spans="1:40" x14ac:dyDescent="0.25">
      <c r="A377">
        <v>241</v>
      </c>
      <c r="B377">
        <v>232</v>
      </c>
      <c r="C377" t="s">
        <v>1649</v>
      </c>
      <c r="D377" s="1">
        <f t="shared" si="19"/>
        <v>600</v>
      </c>
      <c r="E377" s="2">
        <v>75</v>
      </c>
      <c r="F377" s="3">
        <v>65</v>
      </c>
      <c r="G377" s="4">
        <v>90</v>
      </c>
      <c r="H377" s="5">
        <v>134</v>
      </c>
      <c r="I377" s="4">
        <v>110</v>
      </c>
      <c r="J377" s="6">
        <v>126</v>
      </c>
      <c r="K377">
        <v>600</v>
      </c>
      <c r="L377" s="9" t="s">
        <v>673</v>
      </c>
      <c r="N377" s="19"/>
      <c r="P377">
        <v>232</v>
      </c>
      <c r="Q377" t="str">
        <f t="shared" si="20"/>
        <v>Hueduu</v>
      </c>
      <c r="R377" t="s">
        <v>860</v>
      </c>
      <c r="AK377">
        <v>30</v>
      </c>
      <c r="AL377" t="s">
        <v>1232</v>
      </c>
      <c r="AM377">
        <v>6</v>
      </c>
    </row>
    <row r="378" spans="1:40" x14ac:dyDescent="0.25">
      <c r="A378">
        <v>245</v>
      </c>
      <c r="B378">
        <v>233</v>
      </c>
      <c r="C378" t="s">
        <v>565</v>
      </c>
      <c r="D378" s="1">
        <f t="shared" si="19"/>
        <v>680</v>
      </c>
      <c r="E378" s="2">
        <v>120</v>
      </c>
      <c r="F378" s="3">
        <v>150</v>
      </c>
      <c r="G378" s="4">
        <v>100</v>
      </c>
      <c r="H378" s="5">
        <v>80</v>
      </c>
      <c r="I378" s="4">
        <v>130</v>
      </c>
      <c r="J378" s="6">
        <v>100</v>
      </c>
      <c r="K378">
        <v>680</v>
      </c>
      <c r="L378" s="9" t="s">
        <v>674</v>
      </c>
      <c r="N378" s="19"/>
      <c r="P378">
        <v>233</v>
      </c>
      <c r="Q378" t="str">
        <f t="shared" si="20"/>
        <v>Relomidel</v>
      </c>
      <c r="R378" t="s">
        <v>846</v>
      </c>
      <c r="AK378">
        <v>51</v>
      </c>
      <c r="AL378" t="s">
        <v>1242</v>
      </c>
      <c r="AM378">
        <v>6</v>
      </c>
    </row>
    <row r="379" spans="1:40" x14ac:dyDescent="0.25">
      <c r="A379">
        <v>246</v>
      </c>
      <c r="B379">
        <v>234</v>
      </c>
      <c r="C379" t="s">
        <v>566</v>
      </c>
      <c r="D379" s="1">
        <f t="shared" si="19"/>
        <v>680</v>
      </c>
      <c r="E379" s="2">
        <v>120</v>
      </c>
      <c r="F379" s="3">
        <v>80</v>
      </c>
      <c r="G379" s="4">
        <v>130</v>
      </c>
      <c r="H379" s="5">
        <v>150</v>
      </c>
      <c r="I379" s="4">
        <v>100</v>
      </c>
      <c r="J379" s="6">
        <v>100</v>
      </c>
      <c r="K379">
        <v>680</v>
      </c>
      <c r="L379" s="9" t="s">
        <v>675</v>
      </c>
      <c r="N379" s="19"/>
      <c r="P379">
        <v>234</v>
      </c>
      <c r="Q379" t="str">
        <f t="shared" si="20"/>
        <v>Relopamil</v>
      </c>
      <c r="R379" t="s">
        <v>848</v>
      </c>
      <c r="AK379">
        <v>54</v>
      </c>
      <c r="AL379" t="s">
        <v>1225</v>
      </c>
      <c r="AM379">
        <v>6</v>
      </c>
    </row>
    <row r="380" spans="1:40" x14ac:dyDescent="0.25">
      <c r="A380">
        <v>247</v>
      </c>
      <c r="B380">
        <v>235</v>
      </c>
      <c r="C380" t="s">
        <v>567</v>
      </c>
      <c r="D380" s="1">
        <f t="shared" si="19"/>
        <v>700</v>
      </c>
      <c r="E380" s="2">
        <v>110</v>
      </c>
      <c r="F380" s="3">
        <v>100</v>
      </c>
      <c r="G380" s="4">
        <v>100</v>
      </c>
      <c r="H380" s="5">
        <v>160</v>
      </c>
      <c r="I380" s="4">
        <v>100</v>
      </c>
      <c r="J380" s="6">
        <v>130</v>
      </c>
      <c r="K380">
        <v>700</v>
      </c>
      <c r="L380" s="9" t="s">
        <v>676</v>
      </c>
      <c r="N380" s="19"/>
      <c r="P380">
        <v>235</v>
      </c>
      <c r="Q380" t="str">
        <f t="shared" si="20"/>
        <v>Dragowrath</v>
      </c>
      <c r="R380" t="s">
        <v>861</v>
      </c>
      <c r="AK380">
        <v>56</v>
      </c>
      <c r="AL380" t="s">
        <v>1238</v>
      </c>
      <c r="AM380">
        <v>6</v>
      </c>
    </row>
    <row r="381" spans="1:40" x14ac:dyDescent="0.25">
      <c r="A381">
        <v>249</v>
      </c>
      <c r="B381">
        <v>236</v>
      </c>
      <c r="C381" t="s">
        <v>568</v>
      </c>
      <c r="D381" s="1">
        <f t="shared" si="19"/>
        <v>670</v>
      </c>
      <c r="E381" s="2">
        <v>190</v>
      </c>
      <c r="F381" s="3">
        <v>75</v>
      </c>
      <c r="G381" s="4">
        <v>120</v>
      </c>
      <c r="H381" s="5">
        <v>90</v>
      </c>
      <c r="I381" s="4">
        <v>120</v>
      </c>
      <c r="J381" s="6">
        <v>75</v>
      </c>
      <c r="K381">
        <v>670</v>
      </c>
      <c r="L381" s="10" t="s">
        <v>644</v>
      </c>
      <c r="N381" s="19"/>
      <c r="P381">
        <v>236</v>
      </c>
      <c r="Q381" t="str">
        <f t="shared" si="20"/>
        <v>Solaroxyous</v>
      </c>
      <c r="R381" t="s">
        <v>1088</v>
      </c>
      <c r="AK381">
        <v>172</v>
      </c>
      <c r="AL381" t="s">
        <v>904</v>
      </c>
      <c r="AM381">
        <v>6</v>
      </c>
    </row>
    <row r="382" spans="1:40" x14ac:dyDescent="0.25">
      <c r="B382">
        <v>237</v>
      </c>
      <c r="C382" t="s">
        <v>573</v>
      </c>
      <c r="D382" s="1">
        <f t="shared" si="19"/>
        <v>550</v>
      </c>
      <c r="E382" s="2">
        <v>110</v>
      </c>
      <c r="F382" s="3">
        <v>100</v>
      </c>
      <c r="G382" s="4">
        <v>75</v>
      </c>
      <c r="H382" s="5">
        <v>100</v>
      </c>
      <c r="I382" s="4">
        <v>75</v>
      </c>
      <c r="J382" s="6">
        <v>90</v>
      </c>
      <c r="K382">
        <v>550</v>
      </c>
      <c r="L382" s="9" t="s">
        <v>599</v>
      </c>
      <c r="P382">
        <v>237</v>
      </c>
      <c r="Q382" t="str">
        <f t="shared" si="20"/>
        <v>Kissyfishy-D</v>
      </c>
      <c r="AK382">
        <v>173</v>
      </c>
      <c r="AL382" t="s">
        <v>1016</v>
      </c>
      <c r="AM382">
        <v>6</v>
      </c>
    </row>
    <row r="383" spans="1:40" x14ac:dyDescent="0.25">
      <c r="A383">
        <v>89</v>
      </c>
      <c r="B383">
        <v>238</v>
      </c>
      <c r="C383" t="s">
        <v>801</v>
      </c>
      <c r="D383" s="1">
        <f t="shared" si="19"/>
        <v>348</v>
      </c>
      <c r="E383" s="2">
        <v>50</v>
      </c>
      <c r="F383" s="3">
        <v>75</v>
      </c>
      <c r="G383" s="4">
        <v>70</v>
      </c>
      <c r="H383" s="5">
        <v>35</v>
      </c>
      <c r="I383" s="4">
        <v>70</v>
      </c>
      <c r="J383" s="6">
        <v>48</v>
      </c>
      <c r="K383">
        <v>348</v>
      </c>
      <c r="L383" s="9" t="s">
        <v>621</v>
      </c>
      <c r="M383" t="s">
        <v>608</v>
      </c>
      <c r="N383" t="s">
        <v>620</v>
      </c>
      <c r="AK383">
        <v>178</v>
      </c>
      <c r="AL383" t="s">
        <v>1488</v>
      </c>
      <c r="AM383">
        <v>6</v>
      </c>
    </row>
    <row r="384" spans="1:40" x14ac:dyDescent="0.25">
      <c r="A384">
        <v>90</v>
      </c>
      <c r="B384">
        <v>239</v>
      </c>
      <c r="C384" t="s">
        <v>802</v>
      </c>
      <c r="D384" s="1">
        <f t="shared" si="19"/>
        <v>488</v>
      </c>
      <c r="E384" s="2">
        <v>65</v>
      </c>
      <c r="F384" s="3">
        <v>90</v>
      </c>
      <c r="G384" s="4">
        <v>115</v>
      </c>
      <c r="H384" s="5">
        <v>45</v>
      </c>
      <c r="I384" s="4">
        <v>115</v>
      </c>
      <c r="J384" s="6">
        <v>58</v>
      </c>
      <c r="K384">
        <v>488</v>
      </c>
      <c r="L384" s="9" t="s">
        <v>621</v>
      </c>
      <c r="M384" t="s">
        <v>608</v>
      </c>
      <c r="N384" t="s">
        <v>620</v>
      </c>
      <c r="AK384">
        <v>182</v>
      </c>
      <c r="AL384" t="s">
        <v>1530</v>
      </c>
      <c r="AM384">
        <v>6</v>
      </c>
      <c r="AN384" t="s">
        <v>1554</v>
      </c>
    </row>
    <row r="385" spans="1:40" x14ac:dyDescent="0.25">
      <c r="A385">
        <v>91</v>
      </c>
      <c r="B385">
        <v>240</v>
      </c>
      <c r="C385" t="s">
        <v>803</v>
      </c>
      <c r="D385" s="1">
        <f t="shared" si="19"/>
        <v>555</v>
      </c>
      <c r="E385" s="2">
        <v>70</v>
      </c>
      <c r="F385" s="3">
        <v>110</v>
      </c>
      <c r="G385" s="4">
        <v>120</v>
      </c>
      <c r="H385" s="5">
        <v>45</v>
      </c>
      <c r="I385" s="4">
        <v>120</v>
      </c>
      <c r="J385" s="6">
        <v>90</v>
      </c>
      <c r="K385">
        <v>555</v>
      </c>
      <c r="L385" t="s">
        <v>804</v>
      </c>
      <c r="M385" t="s">
        <v>608</v>
      </c>
      <c r="N385" t="s">
        <v>620</v>
      </c>
      <c r="AK385">
        <v>183</v>
      </c>
      <c r="AL385" t="s">
        <v>1531</v>
      </c>
      <c r="AM385">
        <v>6</v>
      </c>
      <c r="AN385" t="s">
        <v>1554</v>
      </c>
    </row>
    <row r="386" spans="1:40" x14ac:dyDescent="0.25">
      <c r="A386">
        <v>198</v>
      </c>
      <c r="B386">
        <v>241</v>
      </c>
      <c r="C386" t="s">
        <v>1117</v>
      </c>
      <c r="D386" s="1">
        <f t="shared" si="19"/>
        <v>350</v>
      </c>
      <c r="E386" s="2">
        <v>48</v>
      </c>
      <c r="F386" s="3">
        <v>35</v>
      </c>
      <c r="G386" s="4">
        <v>42</v>
      </c>
      <c r="H386" s="5">
        <v>105</v>
      </c>
      <c r="I386" s="4">
        <v>60</v>
      </c>
      <c r="J386" s="6">
        <v>60</v>
      </c>
      <c r="K386">
        <v>350</v>
      </c>
      <c r="AK386">
        <v>184</v>
      </c>
      <c r="AL386" t="s">
        <v>1532</v>
      </c>
      <c r="AM386">
        <v>6</v>
      </c>
      <c r="AN386" t="s">
        <v>1554</v>
      </c>
    </row>
    <row r="387" spans="1:40" x14ac:dyDescent="0.25">
      <c r="A387">
        <v>199</v>
      </c>
      <c r="B387">
        <v>242</v>
      </c>
      <c r="C387" t="s">
        <v>1118</v>
      </c>
      <c r="D387" s="1">
        <f t="shared" si="19"/>
        <v>525</v>
      </c>
      <c r="E387" s="2">
        <v>83</v>
      </c>
      <c r="F387" s="3">
        <v>55</v>
      </c>
      <c r="G387" s="4">
        <v>90</v>
      </c>
      <c r="H387" s="5">
        <v>130</v>
      </c>
      <c r="I387" s="4">
        <v>81</v>
      </c>
      <c r="J387" s="6">
        <v>86</v>
      </c>
      <c r="K387">
        <v>525</v>
      </c>
      <c r="AK387">
        <v>185</v>
      </c>
      <c r="AL387" t="s">
        <v>1533</v>
      </c>
      <c r="AM387">
        <v>6</v>
      </c>
      <c r="AN387" t="s">
        <v>1554</v>
      </c>
    </row>
    <row r="388" spans="1:40" x14ac:dyDescent="0.25">
      <c r="A388">
        <v>46</v>
      </c>
      <c r="B388">
        <v>243</v>
      </c>
      <c r="C388" t="s">
        <v>1121</v>
      </c>
      <c r="D388" s="1">
        <f t="shared" si="19"/>
        <v>310</v>
      </c>
      <c r="E388" s="2">
        <v>25</v>
      </c>
      <c r="F388" s="3">
        <v>20</v>
      </c>
      <c r="G388" s="4">
        <v>15</v>
      </c>
      <c r="H388" s="5">
        <v>105</v>
      </c>
      <c r="I388" s="4">
        <v>55</v>
      </c>
      <c r="J388" s="6">
        <v>90</v>
      </c>
      <c r="K388">
        <v>310</v>
      </c>
      <c r="AK388">
        <v>168</v>
      </c>
      <c r="AL388" t="s">
        <v>1482</v>
      </c>
      <c r="AM388">
        <v>7</v>
      </c>
    </row>
    <row r="389" spans="1:40" x14ac:dyDescent="0.25">
      <c r="A389">
        <v>47</v>
      </c>
      <c r="B389">
        <v>244</v>
      </c>
      <c r="C389" t="s">
        <v>1122</v>
      </c>
      <c r="D389" s="1">
        <f t="shared" si="19"/>
        <v>400</v>
      </c>
      <c r="E389" s="2">
        <v>40</v>
      </c>
      <c r="F389" s="3">
        <v>35</v>
      </c>
      <c r="G389" s="4">
        <v>30</v>
      </c>
      <c r="H389" s="5">
        <v>120</v>
      </c>
      <c r="I389" s="4">
        <v>70</v>
      </c>
      <c r="J389" s="6">
        <v>105</v>
      </c>
      <c r="K389">
        <v>400</v>
      </c>
      <c r="AK389">
        <v>169</v>
      </c>
      <c r="AL389" t="s">
        <v>1483</v>
      </c>
      <c r="AM389">
        <v>7</v>
      </c>
    </row>
    <row r="390" spans="1:40" x14ac:dyDescent="0.25">
      <c r="A390">
        <v>48</v>
      </c>
      <c r="B390">
        <v>245</v>
      </c>
      <c r="C390" t="s">
        <v>1123</v>
      </c>
      <c r="D390" s="1">
        <f t="shared" si="19"/>
        <v>500</v>
      </c>
      <c r="E390" s="2">
        <v>55</v>
      </c>
      <c r="F390" s="3">
        <v>50</v>
      </c>
      <c r="G390" s="4">
        <v>45</v>
      </c>
      <c r="H390" s="5">
        <v>135</v>
      </c>
      <c r="I390" s="4">
        <v>95</v>
      </c>
      <c r="J390" s="6">
        <v>120</v>
      </c>
      <c r="K390">
        <v>500</v>
      </c>
      <c r="AK390">
        <v>170</v>
      </c>
      <c r="AL390" t="s">
        <v>1484</v>
      </c>
      <c r="AM390">
        <v>7</v>
      </c>
    </row>
    <row r="391" spans="1:40" x14ac:dyDescent="0.25">
      <c r="A391">
        <v>220</v>
      </c>
      <c r="B391">
        <v>246</v>
      </c>
      <c r="C391" t="s">
        <v>1124</v>
      </c>
      <c r="D391" s="1">
        <f t="shared" si="19"/>
        <v>500</v>
      </c>
      <c r="E391" s="2">
        <v>82</v>
      </c>
      <c r="F391" s="3">
        <v>115</v>
      </c>
      <c r="G391" s="4">
        <v>74</v>
      </c>
      <c r="H391" s="5">
        <v>75</v>
      </c>
      <c r="I391" s="4">
        <v>64</v>
      </c>
      <c r="J391" s="6">
        <v>90</v>
      </c>
      <c r="K391">
        <v>500</v>
      </c>
      <c r="AK391">
        <v>171</v>
      </c>
      <c r="AL391" t="s">
        <v>1485</v>
      </c>
      <c r="AM391">
        <v>7</v>
      </c>
    </row>
    <row r="392" spans="1:40" x14ac:dyDescent="0.25">
      <c r="A392">
        <v>200</v>
      </c>
      <c r="B392">
        <v>247</v>
      </c>
      <c r="C392" t="s">
        <v>1125</v>
      </c>
      <c r="D392" s="1">
        <f t="shared" si="19"/>
        <v>430</v>
      </c>
      <c r="E392" s="2">
        <v>55</v>
      </c>
      <c r="F392" s="3">
        <v>95</v>
      </c>
      <c r="G392" s="4">
        <v>55</v>
      </c>
      <c r="H392" s="5">
        <v>35</v>
      </c>
      <c r="I392" s="4">
        <v>75</v>
      </c>
      <c r="J392" s="6">
        <v>115</v>
      </c>
      <c r="K392">
        <v>430</v>
      </c>
      <c r="AK392">
        <v>179</v>
      </c>
      <c r="AL392" t="s">
        <v>1489</v>
      </c>
      <c r="AM392">
        <v>7</v>
      </c>
    </row>
    <row r="393" spans="1:40" x14ac:dyDescent="0.25">
      <c r="A393">
        <v>201</v>
      </c>
      <c r="B393">
        <v>248</v>
      </c>
      <c r="C393" t="s">
        <v>1127</v>
      </c>
      <c r="D393" s="1">
        <f t="shared" si="19"/>
        <v>510</v>
      </c>
      <c r="E393" s="2">
        <v>70</v>
      </c>
      <c r="F393" s="3">
        <v>120</v>
      </c>
      <c r="G393" s="4">
        <v>65</v>
      </c>
      <c r="H393" s="5">
        <v>45</v>
      </c>
      <c r="I393" s="4">
        <v>85</v>
      </c>
      <c r="J393" s="6">
        <v>125</v>
      </c>
      <c r="K393">
        <v>510</v>
      </c>
      <c r="AK393">
        <v>27</v>
      </c>
      <c r="AL393" t="s">
        <v>1271</v>
      </c>
      <c r="AM393">
        <v>8</v>
      </c>
    </row>
    <row r="394" spans="1:40" x14ac:dyDescent="0.25">
      <c r="A394">
        <v>202</v>
      </c>
      <c r="B394">
        <v>249</v>
      </c>
      <c r="C394" t="s">
        <v>1128</v>
      </c>
      <c r="D394" s="1">
        <f t="shared" si="19"/>
        <v>430</v>
      </c>
      <c r="E394" s="43">
        <v>55</v>
      </c>
      <c r="F394" s="44">
        <v>95</v>
      </c>
      <c r="G394" s="45">
        <v>55</v>
      </c>
      <c r="H394" s="46">
        <v>35</v>
      </c>
      <c r="I394" s="45">
        <v>75</v>
      </c>
      <c r="J394" s="47">
        <v>115</v>
      </c>
      <c r="K394">
        <v>510</v>
      </c>
      <c r="AK394">
        <v>41</v>
      </c>
      <c r="AL394" t="s">
        <v>1226</v>
      </c>
      <c r="AM394">
        <v>8</v>
      </c>
    </row>
    <row r="395" spans="1:40" x14ac:dyDescent="0.25">
      <c r="A395">
        <v>203</v>
      </c>
      <c r="B395">
        <v>250</v>
      </c>
      <c r="C395" t="s">
        <v>1126</v>
      </c>
      <c r="D395" s="1">
        <f t="shared" si="19"/>
        <v>510</v>
      </c>
      <c r="E395" s="2">
        <v>80</v>
      </c>
      <c r="F395" s="3">
        <v>130</v>
      </c>
      <c r="G395" s="4">
        <v>60</v>
      </c>
      <c r="H395" s="5">
        <v>40</v>
      </c>
      <c r="I395" s="4">
        <v>80</v>
      </c>
      <c r="J395" s="6">
        <v>120</v>
      </c>
      <c r="K395">
        <v>510</v>
      </c>
      <c r="AK395">
        <v>174</v>
      </c>
      <c r="AL395" t="s">
        <v>1486</v>
      </c>
      <c r="AM395">
        <v>8</v>
      </c>
    </row>
    <row r="396" spans="1:40" x14ac:dyDescent="0.25">
      <c r="A396" s="49">
        <v>-3</v>
      </c>
      <c r="B396">
        <v>251</v>
      </c>
      <c r="C396" t="s">
        <v>1129</v>
      </c>
      <c r="D396" s="1">
        <f t="shared" si="19"/>
        <v>290</v>
      </c>
      <c r="E396" s="2">
        <v>45</v>
      </c>
      <c r="F396" s="3">
        <v>30</v>
      </c>
      <c r="G396" s="4">
        <v>40</v>
      </c>
      <c r="H396" s="5">
        <v>105</v>
      </c>
      <c r="I396" s="4">
        <v>50</v>
      </c>
      <c r="J396" s="6">
        <v>20</v>
      </c>
      <c r="K396">
        <v>290</v>
      </c>
      <c r="AK396">
        <v>180</v>
      </c>
      <c r="AL396" t="s">
        <v>1490</v>
      </c>
      <c r="AM396">
        <v>8</v>
      </c>
    </row>
    <row r="397" spans="1:40" x14ac:dyDescent="0.25">
      <c r="A397" s="49">
        <v>-4</v>
      </c>
      <c r="B397">
        <v>252</v>
      </c>
      <c r="C397" t="s">
        <v>1130</v>
      </c>
      <c r="D397" s="1">
        <f t="shared" si="19"/>
        <v>370</v>
      </c>
      <c r="E397" s="2">
        <v>65</v>
      </c>
      <c r="F397" s="3">
        <v>40</v>
      </c>
      <c r="G397" s="4">
        <v>50</v>
      </c>
      <c r="H397" s="5">
        <v>125</v>
      </c>
      <c r="I397" s="4">
        <v>60</v>
      </c>
      <c r="J397" s="6">
        <v>30</v>
      </c>
      <c r="K397">
        <v>370</v>
      </c>
      <c r="AK397">
        <v>181</v>
      </c>
      <c r="AL397" t="s">
        <v>1491</v>
      </c>
      <c r="AM397">
        <v>8</v>
      </c>
      <c r="AN397" t="s">
        <v>1554</v>
      </c>
    </row>
    <row r="398" spans="1:40" x14ac:dyDescent="0.25">
      <c r="A398" s="49">
        <v>-5</v>
      </c>
      <c r="B398">
        <v>253</v>
      </c>
      <c r="C398" t="s">
        <v>1131</v>
      </c>
      <c r="D398" s="1">
        <f t="shared" si="19"/>
        <v>490</v>
      </c>
      <c r="E398" s="2">
        <v>110</v>
      </c>
      <c r="F398" s="3">
        <v>65</v>
      </c>
      <c r="G398" s="4">
        <v>75</v>
      </c>
      <c r="H398" s="5">
        <v>125</v>
      </c>
      <c r="I398" s="4">
        <v>85</v>
      </c>
      <c r="J398" s="6">
        <v>30</v>
      </c>
      <c r="K398">
        <v>490</v>
      </c>
      <c r="AK398">
        <v>36</v>
      </c>
      <c r="AL398" t="s">
        <v>1231</v>
      </c>
      <c r="AM398">
        <v>9</v>
      </c>
    </row>
    <row r="399" spans="1:40" x14ac:dyDescent="0.25">
      <c r="A399">
        <v>86</v>
      </c>
      <c r="B399">
        <v>254</v>
      </c>
      <c r="C399" t="s">
        <v>1132</v>
      </c>
      <c r="D399" s="1">
        <f t="shared" si="19"/>
        <v>290</v>
      </c>
      <c r="E399" s="2">
        <v>45</v>
      </c>
      <c r="F399" s="3">
        <v>20</v>
      </c>
      <c r="G399" s="4">
        <v>45</v>
      </c>
      <c r="H399" s="5">
        <v>105</v>
      </c>
      <c r="I399" s="4">
        <v>55</v>
      </c>
      <c r="J399" s="6">
        <v>20</v>
      </c>
      <c r="K399">
        <v>290</v>
      </c>
      <c r="AK399">
        <v>60</v>
      </c>
      <c r="AL399" t="s">
        <v>1205</v>
      </c>
      <c r="AM399">
        <v>9</v>
      </c>
    </row>
    <row r="400" spans="1:40" x14ac:dyDescent="0.25">
      <c r="A400">
        <v>87</v>
      </c>
      <c r="B400">
        <v>255</v>
      </c>
      <c r="C400" t="s">
        <v>1133</v>
      </c>
      <c r="D400" s="1">
        <f t="shared" si="19"/>
        <v>370</v>
      </c>
      <c r="E400" s="2">
        <v>60</v>
      </c>
      <c r="F400" s="3">
        <v>25</v>
      </c>
      <c r="G400" s="4">
        <v>60</v>
      </c>
      <c r="H400" s="5">
        <v>125</v>
      </c>
      <c r="I400" s="4">
        <v>65</v>
      </c>
      <c r="J400" s="6">
        <v>35</v>
      </c>
      <c r="K400">
        <v>370</v>
      </c>
      <c r="AK400">
        <v>164</v>
      </c>
      <c r="AL400" t="s">
        <v>898</v>
      </c>
      <c r="AM400">
        <v>9</v>
      </c>
    </row>
    <row r="401" spans="1:39" x14ac:dyDescent="0.25">
      <c r="A401">
        <v>88</v>
      </c>
      <c r="B401">
        <v>256</v>
      </c>
      <c r="C401" t="s">
        <v>1134</v>
      </c>
      <c r="D401" s="1">
        <f t="shared" si="19"/>
        <v>490</v>
      </c>
      <c r="E401" s="2">
        <v>70</v>
      </c>
      <c r="F401" s="3">
        <v>75</v>
      </c>
      <c r="G401" s="4">
        <v>55</v>
      </c>
      <c r="H401" s="5">
        <v>125</v>
      </c>
      <c r="I401" s="4">
        <v>70</v>
      </c>
      <c r="J401" s="6">
        <v>95</v>
      </c>
      <c r="K401">
        <v>490</v>
      </c>
      <c r="AK401">
        <v>165</v>
      </c>
      <c r="AL401" t="s">
        <v>905</v>
      </c>
      <c r="AM401">
        <v>9</v>
      </c>
    </row>
    <row r="402" spans="1:39" x14ac:dyDescent="0.25">
      <c r="A402">
        <v>172</v>
      </c>
      <c r="B402">
        <v>257</v>
      </c>
      <c r="C402" t="s">
        <v>1135</v>
      </c>
      <c r="D402" s="1">
        <f t="shared" ref="D402:D441" si="21">SUM($E402:$J402)</f>
        <v>458</v>
      </c>
      <c r="E402" s="2">
        <v>73</v>
      </c>
      <c r="F402" s="3">
        <v>100</v>
      </c>
      <c r="G402" s="4">
        <v>60</v>
      </c>
      <c r="H402" s="5">
        <v>100</v>
      </c>
      <c r="I402" s="4">
        <v>60</v>
      </c>
      <c r="J402" s="6">
        <v>65</v>
      </c>
      <c r="K402">
        <v>458</v>
      </c>
      <c r="AK402">
        <v>166</v>
      </c>
      <c r="AL402" t="s">
        <v>1249</v>
      </c>
      <c r="AM402">
        <v>9</v>
      </c>
    </row>
    <row r="403" spans="1:39" x14ac:dyDescent="0.25">
      <c r="A403">
        <v>173</v>
      </c>
      <c r="B403">
        <v>258</v>
      </c>
      <c r="C403" t="s">
        <v>1136</v>
      </c>
      <c r="D403" s="1">
        <f t="shared" si="21"/>
        <v>535</v>
      </c>
      <c r="E403" s="2">
        <v>78</v>
      </c>
      <c r="F403" s="3">
        <v>140</v>
      </c>
      <c r="G403" s="4">
        <v>79</v>
      </c>
      <c r="H403" s="5">
        <v>70</v>
      </c>
      <c r="I403" s="4">
        <v>63</v>
      </c>
      <c r="J403" s="6">
        <v>105</v>
      </c>
      <c r="K403">
        <v>535</v>
      </c>
      <c r="AK403">
        <v>167</v>
      </c>
      <c r="AL403" t="s">
        <v>1481</v>
      </c>
      <c r="AM403">
        <v>9</v>
      </c>
    </row>
    <row r="404" spans="1:39" x14ac:dyDescent="0.25">
      <c r="A404" s="49">
        <v>-6</v>
      </c>
      <c r="B404">
        <v>259</v>
      </c>
      <c r="C404" t="s">
        <v>1137</v>
      </c>
      <c r="D404" s="1">
        <f t="shared" si="21"/>
        <v>312</v>
      </c>
      <c r="E404" s="2">
        <v>80</v>
      </c>
      <c r="F404" s="3">
        <v>43</v>
      </c>
      <c r="G404" s="4">
        <v>53</v>
      </c>
      <c r="H404" s="5">
        <v>43</v>
      </c>
      <c r="I404" s="4">
        <v>53</v>
      </c>
      <c r="J404" s="6">
        <v>40</v>
      </c>
      <c r="K404">
        <v>312</v>
      </c>
      <c r="AK404">
        <v>176</v>
      </c>
      <c r="AL404" t="s">
        <v>1014</v>
      </c>
      <c r="AM404">
        <v>9</v>
      </c>
    </row>
    <row r="405" spans="1:39" x14ac:dyDescent="0.25">
      <c r="A405" s="49">
        <v>-7</v>
      </c>
      <c r="B405">
        <v>260</v>
      </c>
      <c r="C405" t="s">
        <v>1138</v>
      </c>
      <c r="D405" s="1">
        <f t="shared" si="21"/>
        <v>487</v>
      </c>
      <c r="E405" s="2">
        <v>120</v>
      </c>
      <c r="F405" s="3">
        <v>73</v>
      </c>
      <c r="G405" s="4">
        <v>83</v>
      </c>
      <c r="H405" s="5">
        <v>73</v>
      </c>
      <c r="I405" s="4">
        <v>83</v>
      </c>
      <c r="J405" s="6">
        <v>55</v>
      </c>
      <c r="K405">
        <v>487</v>
      </c>
      <c r="AK405">
        <v>177</v>
      </c>
      <c r="AL405" t="s">
        <v>1487</v>
      </c>
      <c r="AM405">
        <v>9</v>
      </c>
    </row>
    <row r="406" spans="1:39" x14ac:dyDescent="0.25">
      <c r="A406">
        <v>157</v>
      </c>
      <c r="B406">
        <v>261</v>
      </c>
      <c r="C406" t="s">
        <v>1139</v>
      </c>
      <c r="D406" s="1">
        <f t="shared" si="21"/>
        <v>332</v>
      </c>
      <c r="E406" s="2">
        <v>75</v>
      </c>
      <c r="F406" s="3">
        <v>38</v>
      </c>
      <c r="G406" s="4">
        <v>63</v>
      </c>
      <c r="H406" s="5">
        <v>53</v>
      </c>
      <c r="I406" s="4">
        <v>58</v>
      </c>
      <c r="J406" s="6">
        <v>45</v>
      </c>
      <c r="K406">
        <v>332</v>
      </c>
      <c r="AK406">
        <v>26</v>
      </c>
      <c r="AL406" t="s">
        <v>1259</v>
      </c>
      <c r="AM406">
        <v>10</v>
      </c>
    </row>
    <row r="407" spans="1:39" x14ac:dyDescent="0.25">
      <c r="A407">
        <v>158</v>
      </c>
      <c r="B407">
        <v>262</v>
      </c>
      <c r="C407" t="s">
        <v>1140</v>
      </c>
      <c r="D407" s="1">
        <f t="shared" si="21"/>
        <v>497</v>
      </c>
      <c r="E407" s="2">
        <v>150</v>
      </c>
      <c r="F407" s="3">
        <v>39</v>
      </c>
      <c r="G407" s="4">
        <v>80</v>
      </c>
      <c r="H407" s="5">
        <v>93</v>
      </c>
      <c r="I407" s="4">
        <v>95</v>
      </c>
      <c r="J407" s="6">
        <v>40</v>
      </c>
      <c r="K407">
        <v>497</v>
      </c>
      <c r="AK407">
        <v>161</v>
      </c>
      <c r="AL407" t="s">
        <v>1207</v>
      </c>
      <c r="AM407">
        <v>10</v>
      </c>
    </row>
    <row r="408" spans="1:39" x14ac:dyDescent="0.25">
      <c r="A408">
        <v>221</v>
      </c>
      <c r="B408">
        <v>263</v>
      </c>
      <c r="C408" t="s">
        <v>1141</v>
      </c>
      <c r="D408" s="1">
        <f t="shared" si="21"/>
        <v>410</v>
      </c>
      <c r="E408" s="2">
        <v>60</v>
      </c>
      <c r="F408" s="3">
        <v>55</v>
      </c>
      <c r="G408" s="4">
        <v>70</v>
      </c>
      <c r="H408" s="5">
        <v>90</v>
      </c>
      <c r="I408" s="4">
        <v>70</v>
      </c>
      <c r="J408" s="6">
        <v>65</v>
      </c>
      <c r="K408">
        <v>410</v>
      </c>
      <c r="AK408">
        <v>175</v>
      </c>
      <c r="AL408" t="s">
        <v>1015</v>
      </c>
      <c r="AM408">
        <v>10</v>
      </c>
    </row>
    <row r="409" spans="1:39" x14ac:dyDescent="0.25">
      <c r="A409">
        <v>222</v>
      </c>
      <c r="B409">
        <v>264</v>
      </c>
      <c r="C409" t="s">
        <v>1153</v>
      </c>
      <c r="D409" s="1">
        <f t="shared" si="21"/>
        <v>570</v>
      </c>
      <c r="E409" s="2">
        <v>90</v>
      </c>
      <c r="F409" s="3">
        <v>70</v>
      </c>
      <c r="G409" s="4">
        <v>105</v>
      </c>
      <c r="H409" s="5">
        <v>120</v>
      </c>
      <c r="I409" s="4">
        <v>95</v>
      </c>
      <c r="J409" s="6">
        <v>90</v>
      </c>
      <c r="K409">
        <v>570</v>
      </c>
      <c r="AK409">
        <v>29</v>
      </c>
      <c r="AL409" t="s">
        <v>1247</v>
      </c>
      <c r="AM409">
        <v>12</v>
      </c>
    </row>
    <row r="410" spans="1:39" x14ac:dyDescent="0.25">
      <c r="A410">
        <v>184</v>
      </c>
      <c r="B410">
        <v>265</v>
      </c>
      <c r="C410" t="s">
        <v>1150</v>
      </c>
      <c r="D410" s="1">
        <f t="shared" si="21"/>
        <v>335</v>
      </c>
      <c r="E410" s="2">
        <v>55</v>
      </c>
      <c r="F410" s="3">
        <v>55</v>
      </c>
      <c r="G410" s="4">
        <v>55</v>
      </c>
      <c r="H410" s="5">
        <v>85</v>
      </c>
      <c r="I410" s="4">
        <v>55</v>
      </c>
      <c r="J410" s="6">
        <v>30</v>
      </c>
      <c r="K410">
        <v>335</v>
      </c>
      <c r="L410" t="s">
        <v>1181</v>
      </c>
      <c r="N410" t="s">
        <v>1182</v>
      </c>
      <c r="AK410">
        <v>44</v>
      </c>
      <c r="AL410" t="s">
        <v>1260</v>
      </c>
      <c r="AM410">
        <v>12</v>
      </c>
    </row>
    <row r="411" spans="1:39" x14ac:dyDescent="0.25">
      <c r="A411">
        <v>185</v>
      </c>
      <c r="B411">
        <v>266</v>
      </c>
      <c r="C411" t="s">
        <v>1149</v>
      </c>
      <c r="D411" s="1">
        <f t="shared" si="21"/>
        <v>485</v>
      </c>
      <c r="E411" s="2">
        <v>75</v>
      </c>
      <c r="F411" s="3">
        <v>75</v>
      </c>
      <c r="G411" s="4">
        <v>75</v>
      </c>
      <c r="H411" s="5">
        <v>125</v>
      </c>
      <c r="I411" s="4">
        <v>95</v>
      </c>
      <c r="J411" s="6">
        <v>40</v>
      </c>
      <c r="K411">
        <v>485</v>
      </c>
      <c r="L411" t="s">
        <v>1181</v>
      </c>
      <c r="N411" t="s">
        <v>1182</v>
      </c>
      <c r="AL411" t="s">
        <v>1333</v>
      </c>
      <c r="AM411">
        <v>12</v>
      </c>
    </row>
    <row r="412" spans="1:39" x14ac:dyDescent="0.25">
      <c r="A412" s="10">
        <v>-12</v>
      </c>
      <c r="B412">
        <v>267</v>
      </c>
      <c r="C412" t="s">
        <v>1151</v>
      </c>
      <c r="D412" s="1">
        <f t="shared" si="21"/>
        <v>335</v>
      </c>
      <c r="E412" s="2">
        <v>75</v>
      </c>
      <c r="F412" s="3">
        <v>55</v>
      </c>
      <c r="G412" s="4">
        <v>55</v>
      </c>
      <c r="H412" s="5">
        <v>75</v>
      </c>
      <c r="I412" s="4">
        <v>45</v>
      </c>
      <c r="J412" s="6">
        <v>30</v>
      </c>
      <c r="K412">
        <v>335</v>
      </c>
      <c r="AK412">
        <v>3</v>
      </c>
      <c r="AL412" t="s">
        <v>1318</v>
      </c>
      <c r="AM412">
        <v>13</v>
      </c>
    </row>
    <row r="413" spans="1:39" x14ac:dyDescent="0.25">
      <c r="A413" s="10">
        <v>-13</v>
      </c>
      <c r="B413">
        <v>268</v>
      </c>
      <c r="C413" t="s">
        <v>1152</v>
      </c>
      <c r="D413" s="1">
        <f t="shared" si="21"/>
        <v>485</v>
      </c>
      <c r="E413" s="2">
        <v>95</v>
      </c>
      <c r="F413" s="3">
        <v>85</v>
      </c>
      <c r="G413" s="4">
        <v>70</v>
      </c>
      <c r="H413" s="5">
        <v>130</v>
      </c>
      <c r="I413" s="4">
        <v>65</v>
      </c>
      <c r="J413" s="6">
        <v>40</v>
      </c>
      <c r="K413">
        <v>485</v>
      </c>
      <c r="AK413">
        <v>39</v>
      </c>
      <c r="AL413" t="s">
        <v>1248</v>
      </c>
      <c r="AM413">
        <v>13</v>
      </c>
    </row>
    <row r="414" spans="1:39" x14ac:dyDescent="0.25">
      <c r="A414">
        <v>23</v>
      </c>
      <c r="B414">
        <v>269</v>
      </c>
      <c r="C414" t="s">
        <v>1154</v>
      </c>
      <c r="D414" s="1">
        <f t="shared" si="21"/>
        <v>195</v>
      </c>
      <c r="E414" s="2">
        <v>45</v>
      </c>
      <c r="F414" s="3">
        <v>30</v>
      </c>
      <c r="G414" s="4">
        <v>35</v>
      </c>
      <c r="H414" s="5">
        <v>20</v>
      </c>
      <c r="I414" s="4">
        <v>20</v>
      </c>
      <c r="J414" s="6">
        <v>45</v>
      </c>
      <c r="K414">
        <v>195</v>
      </c>
      <c r="AL414" t="s">
        <v>1362</v>
      </c>
      <c r="AM414">
        <v>14</v>
      </c>
    </row>
    <row r="415" spans="1:39" x14ac:dyDescent="0.25">
      <c r="A415" s="49">
        <v>-1</v>
      </c>
      <c r="B415">
        <v>270</v>
      </c>
      <c r="C415" t="s">
        <v>1155</v>
      </c>
      <c r="D415" s="1">
        <f t="shared" si="21"/>
        <v>205</v>
      </c>
      <c r="E415" s="2">
        <v>50</v>
      </c>
      <c r="F415" s="3">
        <v>20</v>
      </c>
      <c r="G415" s="4">
        <v>55</v>
      </c>
      <c r="H415" s="5">
        <v>25</v>
      </c>
      <c r="I415" s="4">
        <v>25</v>
      </c>
      <c r="J415" s="6">
        <v>30</v>
      </c>
      <c r="K415">
        <v>205</v>
      </c>
      <c r="AL415" t="s">
        <v>1334</v>
      </c>
      <c r="AM415">
        <v>14</v>
      </c>
    </row>
    <row r="416" spans="1:39" x14ac:dyDescent="0.25">
      <c r="A416" s="49">
        <v>-2</v>
      </c>
      <c r="B416">
        <v>271</v>
      </c>
      <c r="C416" s="10" t="s">
        <v>1156</v>
      </c>
      <c r="D416" s="1">
        <f t="shared" si="21"/>
        <v>400</v>
      </c>
      <c r="E416" s="2">
        <v>60</v>
      </c>
      <c r="F416" s="3">
        <v>45</v>
      </c>
      <c r="G416" s="4">
        <v>50</v>
      </c>
      <c r="H416" s="5">
        <v>95</v>
      </c>
      <c r="I416" s="4">
        <v>80</v>
      </c>
      <c r="J416" s="6">
        <v>70</v>
      </c>
      <c r="K416">
        <v>400</v>
      </c>
      <c r="AK416">
        <v>42</v>
      </c>
      <c r="AL416" t="s">
        <v>1246</v>
      </c>
      <c r="AM416">
        <v>16</v>
      </c>
    </row>
    <row r="417" spans="1:39" x14ac:dyDescent="0.25">
      <c r="A417">
        <v>24</v>
      </c>
      <c r="B417">
        <v>272</v>
      </c>
      <c r="C417" t="s">
        <v>1157</v>
      </c>
      <c r="D417" s="1">
        <f t="shared" si="21"/>
        <v>210</v>
      </c>
      <c r="E417" s="2">
        <v>50</v>
      </c>
      <c r="F417" s="3">
        <v>20</v>
      </c>
      <c r="G417" s="4">
        <v>50</v>
      </c>
      <c r="H417" s="5">
        <v>35</v>
      </c>
      <c r="I417" s="4">
        <v>30</v>
      </c>
      <c r="J417" s="6">
        <v>25</v>
      </c>
      <c r="K417">
        <v>210</v>
      </c>
      <c r="AK417">
        <v>49</v>
      </c>
      <c r="AL417" t="s">
        <v>1234</v>
      </c>
      <c r="AM417">
        <v>17</v>
      </c>
    </row>
    <row r="418" spans="1:39" x14ac:dyDescent="0.25">
      <c r="A418">
        <v>25</v>
      </c>
      <c r="B418">
        <v>273</v>
      </c>
      <c r="C418" t="s">
        <v>1158</v>
      </c>
      <c r="D418" s="1">
        <f t="shared" si="21"/>
        <v>405</v>
      </c>
      <c r="E418" s="2">
        <v>60</v>
      </c>
      <c r="F418" s="3">
        <v>20</v>
      </c>
      <c r="G418" s="4">
        <v>55</v>
      </c>
      <c r="H418" s="5">
        <v>105</v>
      </c>
      <c r="I418" s="4">
        <v>90</v>
      </c>
      <c r="J418" s="6">
        <v>75</v>
      </c>
      <c r="K418">
        <v>405</v>
      </c>
      <c r="L418" t="s">
        <v>1163</v>
      </c>
      <c r="AL418" t="s">
        <v>1404</v>
      </c>
      <c r="AM418">
        <v>17</v>
      </c>
    </row>
    <row r="419" spans="1:39" x14ac:dyDescent="0.25">
      <c r="A419" s="49">
        <v>-8</v>
      </c>
      <c r="B419">
        <v>274</v>
      </c>
      <c r="C419" t="s">
        <v>1159</v>
      </c>
      <c r="D419" s="1">
        <f t="shared" si="21"/>
        <v>300</v>
      </c>
      <c r="E419" s="2">
        <v>57</v>
      </c>
      <c r="F419" s="3">
        <v>24</v>
      </c>
      <c r="G419" s="4">
        <v>86</v>
      </c>
      <c r="H419" s="5">
        <v>24</v>
      </c>
      <c r="I419" s="4">
        <v>86</v>
      </c>
      <c r="J419" s="6">
        <v>23</v>
      </c>
      <c r="K419">
        <v>300</v>
      </c>
      <c r="AK419">
        <v>160</v>
      </c>
      <c r="AL419" t="s">
        <v>891</v>
      </c>
      <c r="AM419">
        <v>18</v>
      </c>
    </row>
    <row r="420" spans="1:39" x14ac:dyDescent="0.25">
      <c r="A420" s="49">
        <v>-9</v>
      </c>
      <c r="B420">
        <v>275</v>
      </c>
      <c r="C420" t="s">
        <v>1160</v>
      </c>
      <c r="D420" s="1">
        <f t="shared" si="21"/>
        <v>500</v>
      </c>
      <c r="E420" s="2">
        <v>67</v>
      </c>
      <c r="F420" s="3">
        <v>89</v>
      </c>
      <c r="G420" s="4">
        <v>116</v>
      </c>
      <c r="H420" s="5">
        <v>79</v>
      </c>
      <c r="I420" s="4">
        <v>116</v>
      </c>
      <c r="J420" s="6">
        <v>33</v>
      </c>
      <c r="K420">
        <v>500</v>
      </c>
      <c r="AK420">
        <v>28</v>
      </c>
      <c r="AL420" t="s">
        <v>1237</v>
      </c>
      <c r="AM420">
        <v>19</v>
      </c>
    </row>
    <row r="421" spans="1:39" x14ac:dyDescent="0.25">
      <c r="A421">
        <v>113</v>
      </c>
      <c r="B421">
        <v>276</v>
      </c>
      <c r="C421" t="s">
        <v>1161</v>
      </c>
      <c r="D421" s="1">
        <f t="shared" si="21"/>
        <v>300</v>
      </c>
      <c r="E421" s="2">
        <v>57</v>
      </c>
      <c r="F421" s="3">
        <v>14</v>
      </c>
      <c r="G421" s="4">
        <v>76</v>
      </c>
      <c r="H421" s="5">
        <v>44</v>
      </c>
      <c r="I421" s="4">
        <v>86</v>
      </c>
      <c r="J421" s="6">
        <v>23</v>
      </c>
      <c r="K421">
        <v>300</v>
      </c>
      <c r="AK421">
        <v>38</v>
      </c>
      <c r="AL421" t="s">
        <v>1266</v>
      </c>
      <c r="AM421">
        <v>19</v>
      </c>
    </row>
    <row r="422" spans="1:39" x14ac:dyDescent="0.25">
      <c r="A422">
        <v>114</v>
      </c>
      <c r="B422">
        <v>277</v>
      </c>
      <c r="C422" t="s">
        <v>1162</v>
      </c>
      <c r="D422" s="1">
        <f t="shared" si="21"/>
        <v>500</v>
      </c>
      <c r="E422" s="2">
        <v>67</v>
      </c>
      <c r="F422" s="3">
        <v>99</v>
      </c>
      <c r="G422" s="4">
        <v>111</v>
      </c>
      <c r="H422" s="5">
        <v>79</v>
      </c>
      <c r="I422" s="4">
        <v>111</v>
      </c>
      <c r="J422" s="6">
        <v>33</v>
      </c>
      <c r="K422">
        <v>500</v>
      </c>
      <c r="L422" t="s">
        <v>1163</v>
      </c>
      <c r="AK422">
        <v>43</v>
      </c>
      <c r="AL422" t="s">
        <v>1261</v>
      </c>
      <c r="AM422">
        <v>19</v>
      </c>
    </row>
    <row r="423" spans="1:39" x14ac:dyDescent="0.25">
      <c r="A423">
        <v>98</v>
      </c>
      <c r="B423">
        <v>278</v>
      </c>
      <c r="C423" t="s">
        <v>1172</v>
      </c>
      <c r="D423" s="1">
        <f t="shared" si="21"/>
        <v>304</v>
      </c>
      <c r="E423" s="2">
        <v>50</v>
      </c>
      <c r="F423" s="3">
        <v>62</v>
      </c>
      <c r="G423" s="4">
        <v>40</v>
      </c>
      <c r="H423" s="5">
        <v>62</v>
      </c>
      <c r="I423" s="4">
        <v>40</v>
      </c>
      <c r="J423" s="6">
        <v>50</v>
      </c>
      <c r="K423">
        <v>304</v>
      </c>
      <c r="L423" t="s">
        <v>605</v>
      </c>
      <c r="M423" t="s">
        <v>678</v>
      </c>
      <c r="N423" t="s">
        <v>1177</v>
      </c>
      <c r="AK423">
        <v>50</v>
      </c>
      <c r="AL423" t="s">
        <v>1227</v>
      </c>
      <c r="AM423">
        <v>19</v>
      </c>
    </row>
    <row r="424" spans="1:39" x14ac:dyDescent="0.25">
      <c r="A424">
        <v>99</v>
      </c>
      <c r="B424">
        <v>279</v>
      </c>
      <c r="C424" t="s">
        <v>1173</v>
      </c>
      <c r="D424" s="1">
        <f t="shared" si="21"/>
        <v>486</v>
      </c>
      <c r="E424" s="2">
        <v>65</v>
      </c>
      <c r="F424" s="3">
        <v>108</v>
      </c>
      <c r="G424" s="4">
        <v>65</v>
      </c>
      <c r="H424" s="5">
        <v>108</v>
      </c>
      <c r="I424" s="4">
        <v>65</v>
      </c>
      <c r="J424" s="6">
        <v>75</v>
      </c>
      <c r="K424">
        <v>486</v>
      </c>
      <c r="L424" t="s">
        <v>605</v>
      </c>
      <c r="M424" t="s">
        <v>678</v>
      </c>
      <c r="N424" t="s">
        <v>1177</v>
      </c>
      <c r="AK424">
        <v>47</v>
      </c>
      <c r="AL424" t="s">
        <v>1356</v>
      </c>
      <c r="AM424">
        <v>22</v>
      </c>
    </row>
    <row r="425" spans="1:39" x14ac:dyDescent="0.25">
      <c r="A425">
        <v>100</v>
      </c>
      <c r="B425">
        <v>280</v>
      </c>
      <c r="C425" s="10" t="s">
        <v>1197</v>
      </c>
      <c r="D425" s="1">
        <f t="shared" si="21"/>
        <v>550</v>
      </c>
      <c r="E425" s="2">
        <v>89</v>
      </c>
      <c r="F425" s="3">
        <v>108</v>
      </c>
      <c r="G425" s="4">
        <v>75</v>
      </c>
      <c r="H425" s="5">
        <v>128</v>
      </c>
      <c r="I425" s="4">
        <v>75</v>
      </c>
      <c r="J425" s="6">
        <v>75</v>
      </c>
      <c r="K425">
        <v>550</v>
      </c>
      <c r="L425" t="s">
        <v>605</v>
      </c>
      <c r="M425" t="s">
        <v>666</v>
      </c>
      <c r="N425" t="s">
        <v>1176</v>
      </c>
      <c r="O425" t="s">
        <v>1178</v>
      </c>
      <c r="AK425">
        <v>0</v>
      </c>
      <c r="AL425" t="s">
        <v>1265</v>
      </c>
      <c r="AM425">
        <v>23</v>
      </c>
    </row>
    <row r="426" spans="1:39" x14ac:dyDescent="0.25">
      <c r="A426" s="48">
        <v>-9</v>
      </c>
      <c r="B426">
        <v>281</v>
      </c>
      <c r="C426" t="s">
        <v>1174</v>
      </c>
      <c r="D426" s="1">
        <f t="shared" si="21"/>
        <v>304</v>
      </c>
      <c r="E426" s="2">
        <v>45</v>
      </c>
      <c r="F426" s="3">
        <v>67</v>
      </c>
      <c r="G426" s="4">
        <v>40</v>
      </c>
      <c r="H426" s="5">
        <v>47</v>
      </c>
      <c r="I426" s="4">
        <v>40</v>
      </c>
      <c r="J426" s="6">
        <v>65</v>
      </c>
      <c r="K426">
        <v>304</v>
      </c>
      <c r="L426" t="s">
        <v>605</v>
      </c>
      <c r="M426" t="s">
        <v>594</v>
      </c>
      <c r="N426" t="s">
        <v>1179</v>
      </c>
      <c r="AK426">
        <v>48</v>
      </c>
      <c r="AL426" t="s">
        <v>1215</v>
      </c>
      <c r="AM426">
        <v>27</v>
      </c>
    </row>
    <row r="427" spans="1:39" x14ac:dyDescent="0.25">
      <c r="A427" s="48">
        <v>-10</v>
      </c>
      <c r="B427">
        <v>282</v>
      </c>
      <c r="C427" t="s">
        <v>1175</v>
      </c>
      <c r="D427" s="1">
        <f t="shared" si="21"/>
        <v>486</v>
      </c>
      <c r="E427" s="2">
        <v>65</v>
      </c>
      <c r="F427" s="3">
        <v>113</v>
      </c>
      <c r="G427" s="4">
        <v>60</v>
      </c>
      <c r="H427" s="5">
        <v>103</v>
      </c>
      <c r="I427" s="4">
        <v>65</v>
      </c>
      <c r="J427" s="6">
        <v>80</v>
      </c>
      <c r="K427">
        <v>486</v>
      </c>
      <c r="L427" t="s">
        <v>605</v>
      </c>
      <c r="M427" t="s">
        <v>594</v>
      </c>
      <c r="N427" t="s">
        <v>1179</v>
      </c>
      <c r="AK427">
        <v>40</v>
      </c>
      <c r="AL427" t="s">
        <v>1263</v>
      </c>
      <c r="AM427">
        <v>29</v>
      </c>
    </row>
    <row r="428" spans="1:39" x14ac:dyDescent="0.25">
      <c r="A428" s="48">
        <v>-11</v>
      </c>
      <c r="B428">
        <v>283</v>
      </c>
      <c r="C428" s="10" t="s">
        <v>1198</v>
      </c>
      <c r="D428" s="1">
        <f t="shared" si="21"/>
        <v>550</v>
      </c>
      <c r="E428" s="2">
        <v>84</v>
      </c>
      <c r="F428" s="3">
        <v>118</v>
      </c>
      <c r="G428" s="4">
        <v>75</v>
      </c>
      <c r="H428" s="5">
        <v>108</v>
      </c>
      <c r="I428" s="4">
        <v>75</v>
      </c>
      <c r="J428" s="6">
        <v>90</v>
      </c>
      <c r="K428">
        <v>550</v>
      </c>
      <c r="L428" t="s">
        <v>605</v>
      </c>
      <c r="M428" t="s">
        <v>594</v>
      </c>
      <c r="N428" t="s">
        <v>1179</v>
      </c>
      <c r="O428" t="s">
        <v>1180</v>
      </c>
      <c r="AL428" t="s">
        <v>1360</v>
      </c>
      <c r="AM428">
        <v>47</v>
      </c>
    </row>
    <row r="429" spans="1:39" x14ac:dyDescent="0.25">
      <c r="A429">
        <v>234</v>
      </c>
      <c r="B429">
        <v>284</v>
      </c>
      <c r="C429" t="s">
        <v>1164</v>
      </c>
      <c r="D429" s="1">
        <f t="shared" si="21"/>
        <v>590</v>
      </c>
      <c r="E429" s="2">
        <v>89</v>
      </c>
      <c r="F429" s="3">
        <v>73</v>
      </c>
      <c r="G429" s="4">
        <v>97</v>
      </c>
      <c r="H429" s="5">
        <v>157</v>
      </c>
      <c r="I429" s="4">
        <v>73</v>
      </c>
      <c r="J429" s="6">
        <v>101</v>
      </c>
      <c r="K429">
        <v>590</v>
      </c>
    </row>
    <row r="430" spans="1:39" x14ac:dyDescent="0.25">
      <c r="A430">
        <v>235</v>
      </c>
      <c r="B430">
        <v>285</v>
      </c>
      <c r="C430" t="s">
        <v>1165</v>
      </c>
      <c r="D430" s="1">
        <f t="shared" si="21"/>
        <v>590</v>
      </c>
      <c r="E430" s="2">
        <v>103</v>
      </c>
      <c r="F430" s="3">
        <v>113</v>
      </c>
      <c r="G430" s="4">
        <v>139</v>
      </c>
      <c r="H430" s="5">
        <v>71</v>
      </c>
      <c r="I430" s="4">
        <v>97</v>
      </c>
      <c r="J430" s="6">
        <v>67</v>
      </c>
      <c r="K430">
        <v>590</v>
      </c>
    </row>
    <row r="431" spans="1:39" x14ac:dyDescent="0.25">
      <c r="A431">
        <v>236</v>
      </c>
      <c r="B431">
        <v>286</v>
      </c>
      <c r="C431" t="s">
        <v>1166</v>
      </c>
      <c r="D431" s="1">
        <f t="shared" si="21"/>
        <v>590</v>
      </c>
      <c r="E431" s="2">
        <v>233</v>
      </c>
      <c r="F431" s="3">
        <v>59</v>
      </c>
      <c r="G431" s="4">
        <v>89</v>
      </c>
      <c r="H431" s="5">
        <v>83</v>
      </c>
      <c r="I431" s="4">
        <v>67</v>
      </c>
      <c r="J431" s="6">
        <v>59</v>
      </c>
      <c r="K431">
        <v>590</v>
      </c>
    </row>
    <row r="432" spans="1:39" x14ac:dyDescent="0.25">
      <c r="A432">
        <v>237</v>
      </c>
      <c r="B432">
        <v>287</v>
      </c>
      <c r="C432" t="s">
        <v>1167</v>
      </c>
      <c r="D432" s="1">
        <f t="shared" si="21"/>
        <v>590</v>
      </c>
      <c r="E432" s="2">
        <v>79</v>
      </c>
      <c r="F432" s="3">
        <v>61</v>
      </c>
      <c r="G432" s="4">
        <v>79</v>
      </c>
      <c r="H432" s="5">
        <v>127</v>
      </c>
      <c r="I432" s="4">
        <v>131</v>
      </c>
      <c r="J432" s="6">
        <v>113</v>
      </c>
      <c r="K432">
        <v>590</v>
      </c>
    </row>
    <row r="433" spans="1:14" x14ac:dyDescent="0.25">
      <c r="A433">
        <v>238</v>
      </c>
      <c r="B433">
        <v>288</v>
      </c>
      <c r="C433" t="s">
        <v>1168</v>
      </c>
      <c r="D433" s="1">
        <f t="shared" si="21"/>
        <v>590</v>
      </c>
      <c r="E433" s="2">
        <v>103</v>
      </c>
      <c r="F433" s="3">
        <v>131</v>
      </c>
      <c r="G433" s="4">
        <v>101</v>
      </c>
      <c r="H433" s="5">
        <v>79</v>
      </c>
      <c r="I433" s="4">
        <v>97</v>
      </c>
      <c r="J433" s="6">
        <v>79</v>
      </c>
      <c r="K433">
        <v>590</v>
      </c>
    </row>
    <row r="434" spans="1:14" x14ac:dyDescent="0.25">
      <c r="A434">
        <v>239</v>
      </c>
      <c r="B434">
        <v>289</v>
      </c>
      <c r="C434" t="s">
        <v>1169</v>
      </c>
      <c r="D434" s="1">
        <f t="shared" si="21"/>
        <v>590</v>
      </c>
      <c r="E434" s="2">
        <v>67</v>
      </c>
      <c r="F434" s="3">
        <v>113</v>
      </c>
      <c r="G434" s="4">
        <v>59</v>
      </c>
      <c r="H434" s="5">
        <v>131</v>
      </c>
      <c r="I434" s="4">
        <v>71</v>
      </c>
      <c r="J434" s="6">
        <v>149</v>
      </c>
      <c r="K434">
        <v>590</v>
      </c>
    </row>
    <row r="435" spans="1:14" x14ac:dyDescent="0.25">
      <c r="A435">
        <v>248</v>
      </c>
      <c r="B435">
        <v>290</v>
      </c>
      <c r="C435" t="s">
        <v>1170</v>
      </c>
      <c r="D435" s="1">
        <f t="shared" si="21"/>
        <v>640</v>
      </c>
      <c r="E435" s="2">
        <v>97</v>
      </c>
      <c r="F435" s="3">
        <v>107</v>
      </c>
      <c r="G435" s="4">
        <v>101</v>
      </c>
      <c r="H435" s="5">
        <v>137</v>
      </c>
      <c r="I435" s="4">
        <v>89</v>
      </c>
      <c r="J435" s="6">
        <v>109</v>
      </c>
      <c r="K435">
        <v>640</v>
      </c>
    </row>
    <row r="436" spans="1:14" x14ac:dyDescent="0.25">
      <c r="B436">
        <v>291</v>
      </c>
      <c r="C436" t="s">
        <v>1171</v>
      </c>
      <c r="D436" s="1">
        <f t="shared" si="21"/>
        <v>754</v>
      </c>
      <c r="E436" s="2">
        <v>97</v>
      </c>
      <c r="F436" s="3">
        <v>147</v>
      </c>
      <c r="G436" s="4">
        <v>97</v>
      </c>
      <c r="H436" s="5">
        <v>187</v>
      </c>
      <c r="I436" s="4">
        <v>97</v>
      </c>
      <c r="J436" s="6">
        <v>129</v>
      </c>
      <c r="K436">
        <v>754</v>
      </c>
    </row>
    <row r="437" spans="1:14" x14ac:dyDescent="0.25">
      <c r="A437">
        <v>104</v>
      </c>
      <c r="B437">
        <v>292</v>
      </c>
      <c r="C437" t="s">
        <v>1190</v>
      </c>
      <c r="D437" s="50">
        <f t="shared" si="21"/>
        <v>190</v>
      </c>
      <c r="E437" s="2">
        <v>50</v>
      </c>
      <c r="F437" s="3">
        <v>20</v>
      </c>
      <c r="G437" s="4">
        <v>40</v>
      </c>
      <c r="H437" s="5">
        <v>20</v>
      </c>
      <c r="I437" s="4">
        <v>40</v>
      </c>
      <c r="J437" s="6">
        <v>20</v>
      </c>
      <c r="K437">
        <v>190</v>
      </c>
      <c r="L437" t="s">
        <v>597</v>
      </c>
      <c r="M437" t="s">
        <v>647</v>
      </c>
      <c r="N437" t="s">
        <v>648</v>
      </c>
    </row>
    <row r="438" spans="1:14" x14ac:dyDescent="0.25">
      <c r="A438">
        <v>105</v>
      </c>
      <c r="B438">
        <v>293</v>
      </c>
      <c r="C438" t="s">
        <v>1191</v>
      </c>
      <c r="D438" s="50">
        <f t="shared" si="21"/>
        <v>250</v>
      </c>
      <c r="E438" s="2">
        <v>70</v>
      </c>
      <c r="F438" s="3">
        <v>20</v>
      </c>
      <c r="G438" s="4">
        <v>50</v>
      </c>
      <c r="H438" s="5">
        <v>20</v>
      </c>
      <c r="I438" s="4">
        <v>50</v>
      </c>
      <c r="J438" s="6">
        <v>40</v>
      </c>
      <c r="K438">
        <v>250</v>
      </c>
      <c r="L438" t="s">
        <v>597</v>
      </c>
      <c r="M438" t="s">
        <v>647</v>
      </c>
      <c r="N438" t="s">
        <v>648</v>
      </c>
    </row>
    <row r="439" spans="1:14" x14ac:dyDescent="0.25">
      <c r="A439">
        <v>106</v>
      </c>
      <c r="B439">
        <v>294</v>
      </c>
      <c r="C439" t="s">
        <v>1192</v>
      </c>
      <c r="D439" s="50">
        <f t="shared" si="21"/>
        <v>420</v>
      </c>
      <c r="E439" s="2">
        <v>100</v>
      </c>
      <c r="F439" s="3">
        <v>50</v>
      </c>
      <c r="G439" s="4">
        <v>80</v>
      </c>
      <c r="H439" s="5">
        <v>60</v>
      </c>
      <c r="I439" s="4">
        <v>80</v>
      </c>
      <c r="J439" s="6">
        <v>50</v>
      </c>
      <c r="K439">
        <v>420</v>
      </c>
      <c r="L439" t="s">
        <v>597</v>
      </c>
      <c r="M439" t="s">
        <v>647</v>
      </c>
      <c r="N439" t="s">
        <v>648</v>
      </c>
    </row>
    <row r="440" spans="1:14" x14ac:dyDescent="0.25">
      <c r="A440">
        <v>135</v>
      </c>
      <c r="B440">
        <v>295</v>
      </c>
      <c r="C440" t="s">
        <v>1195</v>
      </c>
      <c r="D440" s="50">
        <f t="shared" si="21"/>
        <v>290</v>
      </c>
      <c r="E440" s="2">
        <v>40</v>
      </c>
      <c r="F440" s="3">
        <v>65</v>
      </c>
      <c r="G440" s="4">
        <v>35</v>
      </c>
      <c r="H440" s="5">
        <v>40</v>
      </c>
      <c r="I440" s="4">
        <v>35</v>
      </c>
      <c r="J440" s="6">
        <v>75</v>
      </c>
      <c r="K440">
        <v>290</v>
      </c>
      <c r="L440" t="s">
        <v>658</v>
      </c>
      <c r="M440" t="s">
        <v>1193</v>
      </c>
      <c r="N440" t="s">
        <v>1120</v>
      </c>
    </row>
    <row r="441" spans="1:14" x14ac:dyDescent="0.25">
      <c r="A441">
        <v>136</v>
      </c>
      <c r="B441">
        <v>296</v>
      </c>
      <c r="C441" t="s">
        <v>1196</v>
      </c>
      <c r="D441" s="50">
        <f t="shared" si="21"/>
        <v>485</v>
      </c>
      <c r="E441" s="2">
        <v>63</v>
      </c>
      <c r="F441" s="3">
        <v>95</v>
      </c>
      <c r="G441" s="4">
        <v>65</v>
      </c>
      <c r="H441" s="5">
        <v>80</v>
      </c>
      <c r="I441" s="4">
        <v>72</v>
      </c>
      <c r="J441" s="6">
        <v>110</v>
      </c>
      <c r="K441">
        <v>485</v>
      </c>
      <c r="L441" t="s">
        <v>658</v>
      </c>
      <c r="M441" t="s">
        <v>1194</v>
      </c>
      <c r="N441" t="s">
        <v>1120</v>
      </c>
    </row>
    <row r="620" spans="3:3" x14ac:dyDescent="0.25">
      <c r="C620">
        <f>MAX(C385:C618)</f>
        <v>0</v>
      </c>
    </row>
  </sheetData>
  <sortState xmlns:xlrd2="http://schemas.microsoft.com/office/spreadsheetml/2017/richdata2" ref="Q34:Q48">
    <sortCondition ref="Q48"/>
  </sortState>
  <phoneticPr fontId="6" type="noConversion"/>
  <conditionalFormatting sqref="N1:N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5:N74">
    <cfRule type="colorScale" priority="2">
      <colorScale>
        <cfvo type="min"/>
        <cfvo type="max"/>
        <color rgb="FFFCFCFF"/>
        <color rgb="FF63BE7B"/>
      </colorScale>
    </cfRule>
  </conditionalFormatting>
  <conditionalFormatting sqref="O55:O74">
    <cfRule type="colorScale" priority="3">
      <colorScale>
        <cfvo type="min"/>
        <cfvo type="max"/>
        <color rgb="FFFDB1B1"/>
        <color rgb="FFEF2525"/>
      </colorScale>
    </cfRule>
  </conditionalFormatting>
  <conditionalFormatting sqref="P55:P74">
    <cfRule type="colorScale" priority="4">
      <colorScale>
        <cfvo type="min"/>
        <cfvo type="max"/>
        <color theme="7" tint="0.79998168889431442"/>
        <color theme="7" tint="-0.249977111117893"/>
      </colorScale>
    </cfRule>
  </conditionalFormatting>
  <conditionalFormatting sqref="Q55:Q74">
    <cfRule type="colorScale" priority="5">
      <colorScale>
        <cfvo type="min"/>
        <cfvo type="max"/>
        <color theme="9" tint="0.59999389629810485"/>
        <color theme="9" tint="-0.249977111117893"/>
      </colorScale>
    </cfRule>
  </conditionalFormatting>
  <conditionalFormatting sqref="R55:R74">
    <cfRule type="colorScale" priority="6">
      <colorScale>
        <cfvo type="min"/>
        <cfvo type="max"/>
        <color theme="7" tint="0.79998168889431442"/>
        <color theme="7" tint="-0.249977111117893"/>
      </colorScale>
    </cfRule>
    <cfRule type="colorScale" priority="7">
      <colorScale>
        <cfvo type="min"/>
        <cfvo type="max"/>
        <color theme="7" tint="0.79998168889431442"/>
        <color theme="7" tint="0.39997558519241921"/>
      </colorScale>
    </cfRule>
  </conditionalFormatting>
  <conditionalFormatting sqref="S55:S74">
    <cfRule type="colorScale" priority="8">
      <colorScale>
        <cfvo type="min"/>
        <cfvo type="max"/>
        <color theme="8" tint="0.59999389629810485"/>
        <color theme="8" tint="-0.249977111117893"/>
      </colorScale>
    </cfRule>
    <cfRule type="colorScale" priority="9">
      <colorScale>
        <cfvo type="min"/>
        <cfvo type="max"/>
        <color theme="8" tint="-0.249977111117893"/>
        <color theme="8" tint="0.59999389629810485"/>
      </colorScale>
    </cfRule>
  </conditionalFormatting>
  <conditionalFormatting sqref="T55:T7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0:AI32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D1:D140" formulaRange="1"/>
  </ignoredErrors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Shae Kuhnke</dc:creator>
  <cp:lastModifiedBy>Jacob Wolter</cp:lastModifiedBy>
  <dcterms:created xsi:type="dcterms:W3CDTF">2023-03-01T04:23:53Z</dcterms:created>
  <dcterms:modified xsi:type="dcterms:W3CDTF">2026-04-21T01:36:45Z</dcterms:modified>
</cp:coreProperties>
</file>